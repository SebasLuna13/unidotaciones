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fe7b63309148f8/SERVIMERCADEO/Imágenes/Escritorio/"/>
    </mc:Choice>
  </mc:AlternateContent>
  <xr:revisionPtr revIDLastSave="253" documentId="13_ncr:1_{017C310F-E9E3-485F-A94C-4E9204960D31}" xr6:coauthVersionLast="47" xr6:coauthVersionMax="47" xr10:uidLastSave="{736D651A-6F30-48F5-BCF8-CBB99E3CC7D0}"/>
  <bookViews>
    <workbookView xWindow="-120" yWindow="-120" windowWidth="20730" windowHeight="11040" xr2:uid="{2B598F61-CAD8-4FE5-A1C1-6F66D59483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4" i="1"/>
  <c r="G5" i="1"/>
  <c r="G6" i="1"/>
  <c r="G7" i="1"/>
  <c r="G8" i="1"/>
  <c r="G9" i="1"/>
  <c r="G10" i="1"/>
  <c r="G11" i="1"/>
  <c r="G12" i="1"/>
  <c r="G13" i="1"/>
  <c r="G14" i="1"/>
  <c r="G16" i="1"/>
  <c r="G17" i="1"/>
  <c r="G18" i="1"/>
  <c r="G19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3" i="1"/>
</calcChain>
</file>

<file path=xl/sharedStrings.xml><?xml version="1.0" encoding="utf-8"?>
<sst xmlns="http://schemas.openxmlformats.org/spreadsheetml/2006/main" count="181" uniqueCount="97">
  <si>
    <t>CONFECCIONISTA</t>
  </si>
  <si>
    <t>REFERENCIA</t>
  </si>
  <si>
    <t>CLIENTE</t>
  </si>
  <si>
    <t>PRODUCTO</t>
  </si>
  <si>
    <t>FECHA ENTREGA</t>
  </si>
  <si>
    <t>COSTO CONFECCION</t>
  </si>
  <si>
    <t>FECHA</t>
  </si>
  <si>
    <t>FECHA ENVIO</t>
  </si>
  <si>
    <t>TIEMPO VISITA</t>
  </si>
  <si>
    <t>OBSERVACION</t>
  </si>
  <si>
    <t>VISITA 2</t>
  </si>
  <si>
    <t>ESTADO</t>
  </si>
  <si>
    <t>VISITA 1</t>
  </si>
  <si>
    <t xml:space="preserve">VISITA 3 </t>
  </si>
  <si>
    <t>CANTIDAD</t>
  </si>
  <si>
    <t>COTO TOTAL CONFECCION</t>
  </si>
  <si>
    <t>OBSERVACION FINAL DEL LOTE</t>
  </si>
  <si>
    <t>Janeth patricia medina marin</t>
  </si>
  <si>
    <t>xxx</t>
  </si>
  <si>
    <t>t-shirt con cinta reflectiva</t>
  </si>
  <si>
    <t>trilladora</t>
  </si>
  <si>
    <t>FECHA ALISTAMIENTO DE CORTE</t>
  </si>
  <si>
    <t>MUESTRA FISICA</t>
  </si>
  <si>
    <t>OBSERVACIONES INSUMOS Y BORDADOS</t>
  </si>
  <si>
    <t>OBSERVACIONES DE INICIO</t>
  </si>
  <si>
    <t>SI</t>
  </si>
  <si>
    <t>CALIFICACION</t>
  </si>
  <si>
    <t xml:space="preserve"> </t>
  </si>
  <si>
    <t>2043-7</t>
  </si>
  <si>
    <t>lucelia mesa</t>
  </si>
  <si>
    <t>camisa vigilante</t>
  </si>
  <si>
    <t>seuridad nacional</t>
  </si>
  <si>
    <t>completo</t>
  </si>
  <si>
    <t>no</t>
  </si>
  <si>
    <t>mauricio rivera</t>
  </si>
  <si>
    <t>2172-3</t>
  </si>
  <si>
    <t>pantalon admon dama</t>
  </si>
  <si>
    <t>cooperativa multiser</t>
  </si>
  <si>
    <t>rubialba aristizabal</t>
  </si>
  <si>
    <t>2137-10</t>
  </si>
  <si>
    <t>polo dama mc</t>
  </si>
  <si>
    <t>club campestre</t>
  </si>
  <si>
    <t>se debe enviar a bordar despues de confeccionado</t>
  </si>
  <si>
    <t>miriam castro</t>
  </si>
  <si>
    <t>2174-1</t>
  </si>
  <si>
    <t>camisa ml drill</t>
  </si>
  <si>
    <t>busscar</t>
  </si>
  <si>
    <t>2171-3</t>
  </si>
  <si>
    <t xml:space="preserve">jean 5 bolsillos </t>
  </si>
  <si>
    <t>hitachi</t>
  </si>
  <si>
    <t>falta enviar 54 cremalleras</t>
  </si>
  <si>
    <t>sandra lorena perez</t>
  </si>
  <si>
    <t>2084-5</t>
  </si>
  <si>
    <t>pantalon drill hombre</t>
  </si>
  <si>
    <t>rufinoi santa coloma</t>
  </si>
  <si>
    <t xml:space="preserve">  </t>
  </si>
  <si>
    <t>2155-3</t>
  </si>
  <si>
    <t>pantalon dama camuflado</t>
  </si>
  <si>
    <t>1075-8</t>
  </si>
  <si>
    <t xml:space="preserve">set tallas pantalon dama </t>
  </si>
  <si>
    <t>2024-2</t>
  </si>
  <si>
    <t xml:space="preserve">camisa ml regular </t>
  </si>
  <si>
    <t>unidotaciones</t>
  </si>
  <si>
    <t>2173-1</t>
  </si>
  <si>
    <t>blusa cocnina</t>
  </si>
  <si>
    <t>comfamiliar</t>
  </si>
  <si>
    <t>si</t>
  </si>
  <si>
    <t xml:space="preserve">marivel </t>
  </si>
  <si>
    <t>2146-5</t>
  </si>
  <si>
    <t>2146-6</t>
  </si>
  <si>
    <t>polo hombre mc</t>
  </si>
  <si>
    <t>cooperativa busscar</t>
  </si>
  <si>
    <t xml:space="preserve">no </t>
  </si>
  <si>
    <t>2155-2</t>
  </si>
  <si>
    <t xml:space="preserve">polo hombre y dama </t>
  </si>
  <si>
    <t>2174-2</t>
  </si>
  <si>
    <t>polo ml reflectiva</t>
  </si>
  <si>
    <t>madeleidis</t>
  </si>
  <si>
    <t>2175-3</t>
  </si>
  <si>
    <t>sudadera de hombre</t>
  </si>
  <si>
    <t>2175-4</t>
  </si>
  <si>
    <t>blusa y sudadera</t>
  </si>
  <si>
    <t>deisy</t>
  </si>
  <si>
    <t>2172-4</t>
  </si>
  <si>
    <t>blusa ml</t>
  </si>
  <si>
    <t xml:space="preserve">b   </t>
  </si>
  <si>
    <t>ok</t>
  </si>
  <si>
    <t>2176-5</t>
  </si>
  <si>
    <t xml:space="preserve">camufladon de dama </t>
  </si>
  <si>
    <t>2176-6</t>
  </si>
  <si>
    <t>camuflado hombre</t>
  </si>
  <si>
    <t>2176-8</t>
  </si>
  <si>
    <t>camisa drill ml</t>
  </si>
  <si>
    <t>2176-7</t>
  </si>
  <si>
    <t>camisa dama dril ml</t>
  </si>
  <si>
    <t>2172-1</t>
  </si>
  <si>
    <t>multiser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</si>
</sst>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16" fontId="0" fillId="4" borderId="1" xfId="0" applyNumberFormat="1" applyFill="1" applyBorder="1"/>
    <xf numFmtId="0" fontId="0" fillId="5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10/relationships/person" Target="persons/person2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1DED-2CFE-4298-BD1E-233A02BCE7E4}">
  <dimension ref="A1:AA42"/>
  <sheetViews>
    <sheetView tabSelected="1" topLeftCell="B1" zoomScale="85" workbookViewId="0">
      <selection activeCell="H21" sqref="H21"/>
    </sheetView>
  </sheetViews>
  <sheetFormatPr baseColWidth="10" defaultRowHeight="15" x14ac:dyDescent="0.25"/>
  <cols>
    <col min="1" max="1" width="28.7109375" bestFit="1" customWidth="1"/>
    <col min="2" max="2" width="11.7109375" bestFit="1" customWidth="1"/>
    <col min="3" max="3" width="28" bestFit="1" customWidth="1"/>
    <col min="4" max="4" width="12.7109375" bestFit="1" customWidth="1"/>
    <col min="5" max="5" width="12.7109375" customWidth="1"/>
    <col min="6" max="6" width="13.28515625" customWidth="1"/>
    <col min="7" max="8" width="19.28515625" customWidth="1"/>
    <col min="11" max="11" width="22.42578125" customWidth="1"/>
    <col min="12" max="13" width="17" customWidth="1"/>
    <col min="15" max="15" width="14" bestFit="1" customWidth="1"/>
    <col min="17" max="17" width="13.85546875" bestFit="1" customWidth="1"/>
    <col min="19" max="19" width="14" bestFit="1" customWidth="1"/>
    <col min="21" max="21" width="13.85546875" bestFit="1" customWidth="1"/>
    <col min="24" max="24" width="13.7109375" bestFit="1" customWidth="1"/>
    <col min="25" max="25" width="13.85546875" bestFit="1" customWidth="1"/>
    <col min="26" max="26" width="17.5703125" customWidth="1"/>
    <col min="27" max="27" width="13.42578125" bestFit="1" customWidth="1"/>
  </cols>
  <sheetData>
    <row r="1" spans="1:27" x14ac:dyDescent="0.25">
      <c r="A1" s="7" t="s">
        <v>0</v>
      </c>
      <c r="B1" s="7" t="s">
        <v>1</v>
      </c>
      <c r="C1" s="7" t="s">
        <v>3</v>
      </c>
      <c r="D1" s="7" t="s">
        <v>2</v>
      </c>
      <c r="E1" s="7" t="s">
        <v>14</v>
      </c>
      <c r="F1" s="7" t="s">
        <v>5</v>
      </c>
      <c r="G1" s="7" t="s">
        <v>15</v>
      </c>
      <c r="H1" s="8" t="s">
        <v>21</v>
      </c>
      <c r="I1" s="7" t="s">
        <v>7</v>
      </c>
      <c r="J1" s="7" t="s">
        <v>4</v>
      </c>
      <c r="K1" s="7" t="s">
        <v>23</v>
      </c>
      <c r="L1" s="8" t="s">
        <v>22</v>
      </c>
      <c r="M1" s="8" t="s">
        <v>24</v>
      </c>
      <c r="N1" s="10" t="s">
        <v>12</v>
      </c>
      <c r="O1" s="10"/>
      <c r="P1" s="10"/>
      <c r="Q1" s="10"/>
      <c r="R1" s="10" t="s">
        <v>10</v>
      </c>
      <c r="S1" s="10"/>
      <c r="T1" s="10"/>
      <c r="U1" s="10"/>
      <c r="V1" s="10" t="s">
        <v>13</v>
      </c>
      <c r="W1" s="10"/>
      <c r="X1" s="10"/>
      <c r="Y1" s="10"/>
      <c r="Z1" s="7" t="s">
        <v>16</v>
      </c>
      <c r="AA1" s="7" t="s">
        <v>26</v>
      </c>
    </row>
    <row r="2" spans="1:27" x14ac:dyDescent="0.25">
      <c r="A2" s="7"/>
      <c r="B2" s="7"/>
      <c r="C2" s="7"/>
      <c r="D2" s="7"/>
      <c r="E2" s="7"/>
      <c r="F2" s="7"/>
      <c r="G2" s="7"/>
      <c r="H2" s="9"/>
      <c r="I2" s="7"/>
      <c r="J2" s="7"/>
      <c r="K2" s="7"/>
      <c r="L2" s="9"/>
      <c r="M2" s="9"/>
      <c r="N2" s="3" t="s">
        <v>6</v>
      </c>
      <c r="O2" s="3" t="s">
        <v>8</v>
      </c>
      <c r="P2" s="3" t="s">
        <v>11</v>
      </c>
      <c r="Q2" s="3" t="s">
        <v>9</v>
      </c>
      <c r="R2" s="3" t="s">
        <v>6</v>
      </c>
      <c r="S2" s="3" t="s">
        <v>8</v>
      </c>
      <c r="T2" s="3" t="s">
        <v>11</v>
      </c>
      <c r="U2" s="3" t="s">
        <v>9</v>
      </c>
      <c r="V2" s="3" t="s">
        <v>6</v>
      </c>
      <c r="W2" s="3" t="s">
        <v>8</v>
      </c>
      <c r="X2" s="3" t="s">
        <v>11</v>
      </c>
      <c r="Y2" s="3" t="s">
        <v>9</v>
      </c>
      <c r="Z2" s="7"/>
      <c r="AA2" s="7"/>
    </row>
    <row r="3" spans="1:27" x14ac:dyDescent="0.25">
      <c r="A3" s="1" t="s">
        <v>17</v>
      </c>
      <c r="B3" s="1" t="s">
        <v>18</v>
      </c>
      <c r="C3" s="1" t="s">
        <v>19</v>
      </c>
      <c r="D3" s="1" t="s">
        <v>20</v>
      </c>
      <c r="E3" s="1">
        <v>60</v>
      </c>
      <c r="F3" s="1">
        <v>2000</v>
      </c>
      <c r="G3" s="1">
        <f>E3*F3</f>
        <v>120000</v>
      </c>
      <c r="H3" s="2">
        <v>45576</v>
      </c>
      <c r="I3" s="2">
        <v>45577</v>
      </c>
      <c r="J3" s="2">
        <v>45581</v>
      </c>
      <c r="K3" s="1" t="s">
        <v>32</v>
      </c>
      <c r="L3" s="1" t="s">
        <v>25</v>
      </c>
      <c r="M3" s="1"/>
      <c r="N3" s="2"/>
      <c r="O3" s="1"/>
      <c r="P3" s="1"/>
      <c r="Q3" s="1"/>
      <c r="R3" s="2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1" t="s">
        <v>29</v>
      </c>
      <c r="B4" s="1" t="s">
        <v>28</v>
      </c>
      <c r="C4" s="1" t="s">
        <v>30</v>
      </c>
      <c r="D4" s="1" t="s">
        <v>31</v>
      </c>
      <c r="E4" s="1">
        <v>141</v>
      </c>
      <c r="F4" s="1">
        <v>10000</v>
      </c>
      <c r="G4" s="1">
        <f>E4*F4</f>
        <v>1410000</v>
      </c>
      <c r="H4" s="2">
        <v>45576</v>
      </c>
      <c r="I4" s="2">
        <v>45577</v>
      </c>
      <c r="J4" s="1"/>
      <c r="K4" s="1" t="s">
        <v>32</v>
      </c>
      <c r="L4" s="1" t="s">
        <v>33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 t="s">
        <v>34</v>
      </c>
      <c r="B5" s="1" t="s">
        <v>35</v>
      </c>
      <c r="C5" s="1" t="s">
        <v>36</v>
      </c>
      <c r="D5" s="1" t="s">
        <v>37</v>
      </c>
      <c r="E5" s="1">
        <v>55</v>
      </c>
      <c r="F5" s="1">
        <v>11000</v>
      </c>
      <c r="G5" s="1">
        <f t="shared" ref="G5:G42" si="0">E5*F5</f>
        <v>605000</v>
      </c>
      <c r="H5" s="2">
        <v>45576</v>
      </c>
      <c r="I5" s="2">
        <v>45577</v>
      </c>
      <c r="J5" s="2">
        <v>45586</v>
      </c>
      <c r="K5" s="1" t="s">
        <v>32</v>
      </c>
      <c r="L5" s="1" t="s">
        <v>33</v>
      </c>
      <c r="M5" s="1"/>
      <c r="N5" s="2"/>
      <c r="O5" s="1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 t="s">
        <v>43</v>
      </c>
      <c r="B6" s="1" t="s">
        <v>44</v>
      </c>
      <c r="C6" s="1" t="s">
        <v>45</v>
      </c>
      <c r="D6" s="1" t="s">
        <v>46</v>
      </c>
      <c r="E6" s="1">
        <v>36</v>
      </c>
      <c r="F6" s="1">
        <v>8000</v>
      </c>
      <c r="G6" s="1">
        <f t="shared" si="0"/>
        <v>288000</v>
      </c>
      <c r="H6" s="2">
        <v>45576</v>
      </c>
      <c r="I6" s="2">
        <v>45577</v>
      </c>
      <c r="J6" s="2">
        <v>45587</v>
      </c>
      <c r="K6" s="1" t="s">
        <v>32</v>
      </c>
      <c r="L6" s="1" t="s">
        <v>33</v>
      </c>
      <c r="M6" s="1"/>
      <c r="N6" s="2"/>
      <c r="O6" s="1"/>
      <c r="P6" s="1"/>
      <c r="Q6" s="1"/>
      <c r="R6" s="2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4" t="s">
        <v>38</v>
      </c>
      <c r="B7" s="4" t="s">
        <v>39</v>
      </c>
      <c r="C7" s="4" t="s">
        <v>40</v>
      </c>
      <c r="D7" s="4" t="s">
        <v>41</v>
      </c>
      <c r="E7" s="4">
        <v>20</v>
      </c>
      <c r="F7" s="4">
        <v>6000</v>
      </c>
      <c r="G7" s="4">
        <f t="shared" si="0"/>
        <v>120000</v>
      </c>
      <c r="H7" s="5">
        <v>45576</v>
      </c>
      <c r="I7" s="2">
        <v>45577</v>
      </c>
      <c r="J7" s="5">
        <v>45581</v>
      </c>
      <c r="K7" s="4" t="s">
        <v>32</v>
      </c>
      <c r="L7" s="4" t="s">
        <v>33</v>
      </c>
      <c r="M7" s="6" t="s">
        <v>42</v>
      </c>
      <c r="N7" s="5"/>
      <c r="O7" s="4"/>
      <c r="P7" s="4"/>
      <c r="Q7" s="4"/>
      <c r="R7" s="5"/>
      <c r="S7" s="4"/>
      <c r="T7" s="4"/>
      <c r="U7" s="4"/>
      <c r="V7" s="4"/>
      <c r="W7" s="4"/>
      <c r="X7" s="4"/>
      <c r="Y7" s="4"/>
      <c r="Z7" s="4"/>
      <c r="AA7" s="4"/>
    </row>
    <row r="8" spans="1:27" x14ac:dyDescent="0.25">
      <c r="A8" s="1" t="s">
        <v>43</v>
      </c>
      <c r="B8" s="1" t="s">
        <v>47</v>
      </c>
      <c r="C8" s="1" t="s">
        <v>48</v>
      </c>
      <c r="D8" s="1" t="s">
        <v>49</v>
      </c>
      <c r="E8" s="1">
        <v>86</v>
      </c>
      <c r="F8" s="1">
        <v>5000</v>
      </c>
      <c r="G8" s="1">
        <f t="shared" si="0"/>
        <v>430000</v>
      </c>
      <c r="H8" s="2">
        <v>45580</v>
      </c>
      <c r="I8" s="2">
        <v>45580</v>
      </c>
      <c r="J8" s="2"/>
      <c r="K8" s="1" t="s">
        <v>50</v>
      </c>
      <c r="L8" s="1" t="s">
        <v>33</v>
      </c>
      <c r="M8" s="1"/>
      <c r="N8" s="2"/>
      <c r="O8" s="1"/>
      <c r="P8" s="1"/>
      <c r="Q8" s="1"/>
      <c r="R8" s="2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 t="s">
        <v>51</v>
      </c>
      <c r="B9" s="1" t="s">
        <v>52</v>
      </c>
      <c r="C9" s="1" t="s">
        <v>53</v>
      </c>
      <c r="D9" s="1" t="s">
        <v>54</v>
      </c>
      <c r="E9" s="1">
        <v>2</v>
      </c>
      <c r="F9" s="1">
        <v>11000</v>
      </c>
      <c r="G9" s="1">
        <f t="shared" si="0"/>
        <v>22000</v>
      </c>
      <c r="H9" s="2">
        <v>45580</v>
      </c>
      <c r="I9" s="2" t="s">
        <v>86</v>
      </c>
      <c r="J9" s="2" t="s">
        <v>86</v>
      </c>
      <c r="K9" s="1" t="s">
        <v>32</v>
      </c>
      <c r="L9" s="1" t="s">
        <v>33</v>
      </c>
      <c r="M9" s="1" t="s">
        <v>55</v>
      </c>
      <c r="N9" s="2"/>
      <c r="O9" s="1"/>
      <c r="P9" s="1"/>
      <c r="Q9" s="1"/>
      <c r="R9" s="2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 t="s">
        <v>43</v>
      </c>
      <c r="B10" s="1" t="s">
        <v>56</v>
      </c>
      <c r="C10" s="1" t="s">
        <v>57</v>
      </c>
      <c r="D10" s="1" t="s">
        <v>49</v>
      </c>
      <c r="E10" s="1">
        <v>3</v>
      </c>
      <c r="F10" s="1">
        <v>12000</v>
      </c>
      <c r="G10" s="1">
        <f t="shared" si="0"/>
        <v>36000</v>
      </c>
      <c r="H10" s="2">
        <v>45580</v>
      </c>
      <c r="I10" s="1"/>
      <c r="J10" s="2" t="s">
        <v>86</v>
      </c>
      <c r="K10" s="1" t="s">
        <v>32</v>
      </c>
      <c r="L10" s="1" t="s">
        <v>33</v>
      </c>
      <c r="M10" s="1"/>
      <c r="N10" s="2"/>
      <c r="O10" s="1"/>
      <c r="P10" s="1"/>
      <c r="Q10" s="1"/>
      <c r="R10" s="2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/>
      <c r="B11" s="1" t="s">
        <v>58</v>
      </c>
      <c r="C11" s="1" t="s">
        <v>59</v>
      </c>
      <c r="D11" s="1" t="s">
        <v>62</v>
      </c>
      <c r="E11" s="1">
        <v>10</v>
      </c>
      <c r="F11" s="1">
        <v>11000</v>
      </c>
      <c r="G11" s="1">
        <f t="shared" si="0"/>
        <v>110000</v>
      </c>
      <c r="H11" s="2">
        <v>45580</v>
      </c>
      <c r="I11" s="2"/>
      <c r="J11" s="2" t="s">
        <v>27</v>
      </c>
      <c r="K11" s="1" t="s">
        <v>32</v>
      </c>
      <c r="L11" s="1" t="s">
        <v>33</v>
      </c>
      <c r="M11" s="1" t="s">
        <v>27</v>
      </c>
      <c r="N11" s="2"/>
      <c r="O11" s="1"/>
      <c r="P11" s="1"/>
      <c r="Q11" s="1"/>
      <c r="R11" s="2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 t="s">
        <v>51</v>
      </c>
      <c r="B12" s="1" t="s">
        <v>60</v>
      </c>
      <c r="C12" s="1" t="s">
        <v>61</v>
      </c>
      <c r="D12" s="1" t="s">
        <v>41</v>
      </c>
      <c r="E12" s="1">
        <v>3</v>
      </c>
      <c r="F12" s="1">
        <v>9000</v>
      </c>
      <c r="G12" s="1">
        <f t="shared" si="0"/>
        <v>27000</v>
      </c>
      <c r="H12" s="2">
        <v>45580</v>
      </c>
      <c r="I12" s="1"/>
      <c r="J12" s="2"/>
      <c r="K12" s="1" t="s">
        <v>32</v>
      </c>
      <c r="L12" s="1" t="s">
        <v>33</v>
      </c>
      <c r="M12" s="1"/>
      <c r="N12" s="2"/>
      <c r="O12" s="1"/>
      <c r="P12" s="1"/>
      <c r="Q12" s="1"/>
      <c r="R12" s="2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 t="s">
        <v>51</v>
      </c>
      <c r="B13" s="1" t="s">
        <v>63</v>
      </c>
      <c r="C13" s="1" t="s">
        <v>64</v>
      </c>
      <c r="D13" s="1" t="s">
        <v>65</v>
      </c>
      <c r="E13" s="1">
        <v>3</v>
      </c>
      <c r="F13" s="1">
        <v>8000</v>
      </c>
      <c r="G13" s="1">
        <f t="shared" si="0"/>
        <v>24000</v>
      </c>
      <c r="H13" s="2">
        <v>45580</v>
      </c>
      <c r="I13" s="2"/>
      <c r="J13" s="2"/>
      <c r="K13" s="1" t="s">
        <v>32</v>
      </c>
      <c r="L13" s="1" t="s">
        <v>66</v>
      </c>
      <c r="M13" s="1"/>
      <c r="N13" s="2"/>
      <c r="O13" s="1"/>
      <c r="P13" s="1"/>
      <c r="Q13" s="1"/>
      <c r="R13" s="2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 t="s">
        <v>67</v>
      </c>
      <c r="B14" s="1" t="s">
        <v>68</v>
      </c>
      <c r="C14" s="1" t="s">
        <v>70</v>
      </c>
      <c r="D14" s="1" t="s">
        <v>71</v>
      </c>
      <c r="E14" s="1">
        <v>2</v>
      </c>
      <c r="F14" s="1">
        <v>5000</v>
      </c>
      <c r="G14" s="1">
        <f t="shared" si="0"/>
        <v>10000</v>
      </c>
      <c r="H14" s="2">
        <v>45580</v>
      </c>
      <c r="I14" s="1"/>
      <c r="J14" s="2"/>
      <c r="K14" s="1" t="s">
        <v>32</v>
      </c>
      <c r="L14" s="1" t="s">
        <v>33</v>
      </c>
      <c r="M14" s="1"/>
      <c r="N14" s="2"/>
      <c r="O14" s="1"/>
      <c r="P14" s="1"/>
      <c r="Q14" s="1"/>
      <c r="R14" s="2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 t="s">
        <v>67</v>
      </c>
      <c r="B15" s="1" t="s">
        <v>69</v>
      </c>
      <c r="C15" s="1" t="s">
        <v>40</v>
      </c>
      <c r="D15" s="1" t="s">
        <v>71</v>
      </c>
      <c r="E15" s="1">
        <v>4</v>
      </c>
      <c r="F15" s="1">
        <v>5000</v>
      </c>
      <c r="G15" s="1">
        <f t="shared" si="0"/>
        <v>20000</v>
      </c>
      <c r="H15" s="2">
        <v>45580</v>
      </c>
      <c r="I15" s="2"/>
      <c r="J15" s="2"/>
      <c r="K15" s="1" t="s">
        <v>32</v>
      </c>
      <c r="L15" s="1" t="s">
        <v>72</v>
      </c>
      <c r="M15" s="1"/>
      <c r="N15" s="2"/>
      <c r="O15" s="1"/>
      <c r="P15" s="1"/>
      <c r="Q15" s="1"/>
      <c r="R15" s="2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 t="s">
        <v>67</v>
      </c>
      <c r="B16" s="1" t="s">
        <v>73</v>
      </c>
      <c r="C16" s="1" t="s">
        <v>74</v>
      </c>
      <c r="D16" s="1" t="s">
        <v>49</v>
      </c>
      <c r="E16" s="1">
        <v>6</v>
      </c>
      <c r="F16" s="1">
        <v>4500</v>
      </c>
      <c r="G16" s="1">
        <f t="shared" si="0"/>
        <v>27000</v>
      </c>
      <c r="H16" s="2">
        <v>45580</v>
      </c>
      <c r="I16" s="1"/>
      <c r="J16" s="2"/>
      <c r="K16" s="1" t="s">
        <v>32</v>
      </c>
      <c r="L16" s="1" t="s">
        <v>66</v>
      </c>
      <c r="M16" s="1"/>
      <c r="N16" s="2"/>
      <c r="O16" s="1"/>
      <c r="P16" s="1"/>
      <c r="Q16" s="1"/>
      <c r="R16" s="2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 t="s">
        <v>67</v>
      </c>
      <c r="B17" s="1" t="s">
        <v>75</v>
      </c>
      <c r="C17" s="1" t="s">
        <v>76</v>
      </c>
      <c r="D17" s="1" t="s">
        <v>46</v>
      </c>
      <c r="E17" s="1">
        <v>6</v>
      </c>
      <c r="F17" s="1">
        <v>5500</v>
      </c>
      <c r="G17" s="1">
        <f t="shared" si="0"/>
        <v>33000</v>
      </c>
      <c r="H17" s="2">
        <v>45580</v>
      </c>
      <c r="I17" s="2"/>
      <c r="J17" s="2"/>
      <c r="K17" s="1" t="s">
        <v>32</v>
      </c>
      <c r="L17" s="1" t="s">
        <v>33</v>
      </c>
      <c r="M17" s="1" t="s">
        <v>55</v>
      </c>
      <c r="N17" s="2"/>
      <c r="O17" s="1"/>
      <c r="P17" s="1"/>
      <c r="Q17" s="1"/>
      <c r="R17" s="2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 t="s">
        <v>77</v>
      </c>
      <c r="B18" s="1" t="s">
        <v>78</v>
      </c>
      <c r="C18" s="1" t="s">
        <v>79</v>
      </c>
      <c r="D18" s="1" t="s">
        <v>65</v>
      </c>
      <c r="E18" s="1">
        <v>20</v>
      </c>
      <c r="F18" s="1">
        <v>4000</v>
      </c>
      <c r="G18" s="1">
        <f t="shared" si="0"/>
        <v>80000</v>
      </c>
      <c r="H18" s="2">
        <v>45583</v>
      </c>
      <c r="I18" s="1"/>
      <c r="J18" s="2"/>
      <c r="K18" s="1" t="s">
        <v>32</v>
      </c>
      <c r="L18" s="1" t="s">
        <v>33</v>
      </c>
      <c r="M18" s="1"/>
      <c r="N18" s="2"/>
      <c r="O18" s="1"/>
      <c r="P18" s="1"/>
      <c r="Q18" s="1"/>
      <c r="R18" s="2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 t="s">
        <v>77</v>
      </c>
      <c r="B19" s="1" t="s">
        <v>85</v>
      </c>
      <c r="C19" s="1" t="s">
        <v>79</v>
      </c>
      <c r="D19" s="1" t="s">
        <v>65</v>
      </c>
      <c r="E19" s="1">
        <v>24</v>
      </c>
      <c r="F19" s="1">
        <v>4000</v>
      </c>
      <c r="G19" s="1">
        <f t="shared" si="0"/>
        <v>96000</v>
      </c>
      <c r="H19" s="2">
        <v>45583</v>
      </c>
      <c r="I19" s="2"/>
      <c r="J19" s="2"/>
      <c r="K19" s="1" t="s">
        <v>32</v>
      </c>
      <c r="L19" s="1" t="s">
        <v>33</v>
      </c>
      <c r="M19" s="1"/>
      <c r="N19" s="2"/>
      <c r="O19" s="1"/>
      <c r="P19" s="1"/>
      <c r="Q19" s="1"/>
      <c r="R19" s="2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 t="s">
        <v>77</v>
      </c>
      <c r="B20" s="1" t="s">
        <v>80</v>
      </c>
      <c r="C20" s="1" t="s">
        <v>81</v>
      </c>
      <c r="D20" s="1" t="s">
        <v>65</v>
      </c>
      <c r="E20" s="1">
        <v>15</v>
      </c>
      <c r="F20" s="1">
        <v>70000</v>
      </c>
      <c r="G20" s="1">
        <v>70000</v>
      </c>
      <c r="H20" s="2">
        <v>45583</v>
      </c>
      <c r="I20" s="1"/>
      <c r="J20" s="2"/>
      <c r="K20" s="1" t="s">
        <v>32</v>
      </c>
      <c r="L20" s="1" t="s">
        <v>33</v>
      </c>
      <c r="M20" s="1"/>
      <c r="N20" s="2"/>
      <c r="O20" s="1"/>
      <c r="P20" s="1"/>
      <c r="Q20" s="1"/>
      <c r="R20" s="2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 t="s">
        <v>82</v>
      </c>
      <c r="B21" s="1" t="s">
        <v>83</v>
      </c>
      <c r="C21" s="1" t="s">
        <v>84</v>
      </c>
      <c r="D21" s="1" t="s">
        <v>37</v>
      </c>
      <c r="E21" s="1">
        <v>11</v>
      </c>
      <c r="F21" s="1">
        <v>11000</v>
      </c>
      <c r="G21" s="1">
        <f t="shared" si="0"/>
        <v>121000</v>
      </c>
      <c r="H21" s="2">
        <v>45583</v>
      </c>
      <c r="I21" s="2"/>
      <c r="J21" s="2"/>
      <c r="K21" s="1" t="s">
        <v>32</v>
      </c>
      <c r="L21" s="1" t="s">
        <v>33</v>
      </c>
      <c r="M21" s="1"/>
      <c r="N21" s="2"/>
      <c r="O21" s="1"/>
      <c r="P21" s="1"/>
      <c r="Q21" s="1"/>
      <c r="R21" s="2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 t="s">
        <v>55</v>
      </c>
      <c r="B22" s="1" t="s">
        <v>87</v>
      </c>
      <c r="C22" s="1" t="s">
        <v>88</v>
      </c>
      <c r="D22" s="1" t="s">
        <v>20</v>
      </c>
      <c r="E22" s="1">
        <v>8</v>
      </c>
      <c r="F22" s="1">
        <v>12500</v>
      </c>
      <c r="G22" s="1">
        <f t="shared" si="0"/>
        <v>100000</v>
      </c>
      <c r="H22" s="2">
        <v>45586</v>
      </c>
      <c r="I22" s="1"/>
      <c r="J22" s="2"/>
      <c r="K22" s="1" t="s">
        <v>32</v>
      </c>
      <c r="L22" s="1" t="s">
        <v>33</v>
      </c>
      <c r="M22" s="1"/>
      <c r="N22" s="2"/>
      <c r="O22" s="1"/>
      <c r="P22" s="1"/>
      <c r="Q22" s="1"/>
      <c r="R22" s="2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/>
      <c r="B23" s="1" t="s">
        <v>89</v>
      </c>
      <c r="C23" s="1" t="s">
        <v>90</v>
      </c>
      <c r="D23" s="1" t="s">
        <v>20</v>
      </c>
      <c r="E23" s="1">
        <v>26</v>
      </c>
      <c r="F23" s="1">
        <v>12500</v>
      </c>
      <c r="G23" s="1">
        <f t="shared" si="0"/>
        <v>325000</v>
      </c>
      <c r="H23" s="2">
        <v>45586</v>
      </c>
      <c r="I23" s="2"/>
      <c r="J23" s="2"/>
      <c r="K23" s="1" t="s">
        <v>32</v>
      </c>
      <c r="L23" s="1" t="s">
        <v>33</v>
      </c>
      <c r="M23" s="1"/>
      <c r="N23" s="2"/>
      <c r="O23" s="1"/>
      <c r="P23" s="1"/>
      <c r="Q23" s="1"/>
      <c r="R23" s="2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 t="s">
        <v>77</v>
      </c>
      <c r="B24" s="1" t="s">
        <v>91</v>
      </c>
      <c r="C24" s="1" t="s">
        <v>92</v>
      </c>
      <c r="D24" s="1" t="s">
        <v>20</v>
      </c>
      <c r="E24" s="1">
        <v>26</v>
      </c>
      <c r="F24" s="1">
        <v>10000</v>
      </c>
      <c r="G24" s="1">
        <f t="shared" si="0"/>
        <v>260000</v>
      </c>
      <c r="H24" s="2">
        <v>45588</v>
      </c>
      <c r="I24" s="1"/>
      <c r="J24" s="2"/>
      <c r="K24" s="1" t="s">
        <v>32</v>
      </c>
      <c r="L24" s="1" t="s">
        <v>33</v>
      </c>
      <c r="M24" s="1"/>
      <c r="N24" s="2"/>
      <c r="O24" s="1"/>
      <c r="P24" s="1"/>
      <c r="Q24" s="1"/>
      <c r="R24" s="2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 t="s">
        <v>77</v>
      </c>
      <c r="B25" s="1" t="s">
        <v>93</v>
      </c>
      <c r="C25" s="1" t="s">
        <v>94</v>
      </c>
      <c r="D25" s="1" t="s">
        <v>20</v>
      </c>
      <c r="E25" s="1">
        <v>8</v>
      </c>
      <c r="F25" s="1">
        <v>10000</v>
      </c>
      <c r="G25" s="1">
        <f t="shared" si="0"/>
        <v>80000</v>
      </c>
      <c r="H25" s="2">
        <v>45588</v>
      </c>
      <c r="I25" s="2"/>
      <c r="J25" s="2"/>
      <c r="K25" s="1" t="s">
        <v>32</v>
      </c>
      <c r="L25" s="1" t="s">
        <v>33</v>
      </c>
      <c r="M25" s="1" t="s">
        <v>27</v>
      </c>
      <c r="N25" s="2"/>
      <c r="O25" s="1"/>
      <c r="P25" s="1"/>
      <c r="Q25" s="1"/>
      <c r="R25" s="2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 t="s">
        <v>82</v>
      </c>
      <c r="B26" s="1" t="s">
        <v>95</v>
      </c>
      <c r="C26" s="1" t="s">
        <v>84</v>
      </c>
      <c r="D26" s="1" t="s">
        <v>96</v>
      </c>
      <c r="E26" s="1">
        <v>11</v>
      </c>
      <c r="F26" s="1">
        <v>11000</v>
      </c>
      <c r="G26" s="1">
        <f t="shared" si="0"/>
        <v>121000</v>
      </c>
      <c r="H26" s="2">
        <v>45588</v>
      </c>
      <c r="I26" s="1"/>
      <c r="J26" s="2"/>
      <c r="K26" s="1" t="s">
        <v>32</v>
      </c>
      <c r="L26" s="1" t="s">
        <v>66</v>
      </c>
      <c r="M26" s="1"/>
      <c r="N26" s="2"/>
      <c r="O26" s="1"/>
      <c r="P26" s="1"/>
      <c r="Q26" s="1"/>
      <c r="R26" s="2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/>
      <c r="E27" s="1"/>
      <c r="F27" s="1"/>
      <c r="G27" s="1">
        <f t="shared" si="0"/>
        <v>0</v>
      </c>
      <c r="H27" s="1"/>
      <c r="I27" s="2"/>
      <c r="J27" s="2"/>
      <c r="K27" s="1"/>
      <c r="L27" s="1"/>
      <c r="M27" s="1"/>
      <c r="N27" s="2"/>
      <c r="O27" s="1"/>
      <c r="P27" s="1"/>
      <c r="Q27" s="1"/>
      <c r="R27" s="2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>
        <f t="shared" si="0"/>
        <v>0</v>
      </c>
      <c r="H28" s="2"/>
      <c r="I28" s="1"/>
      <c r="J28" s="2"/>
      <c r="K28" s="1"/>
      <c r="L28" s="1"/>
      <c r="M28" s="1"/>
      <c r="N28" s="2"/>
      <c r="O28" s="1"/>
      <c r="P28" s="1"/>
      <c r="Q28" s="1"/>
      <c r="R28" s="2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>
        <f t="shared" si="0"/>
        <v>0</v>
      </c>
      <c r="H29" s="1"/>
      <c r="I29" s="2"/>
      <c r="J29" s="2"/>
      <c r="K29" s="1"/>
      <c r="L29" s="1"/>
      <c r="M29" s="1"/>
      <c r="N29" s="2"/>
      <c r="O29" s="1"/>
      <c r="P29" s="1"/>
      <c r="Q29" s="1"/>
      <c r="R29" s="2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>
        <f t="shared" si="0"/>
        <v>0</v>
      </c>
      <c r="H30" s="2"/>
      <c r="I30" s="1"/>
      <c r="J30" s="2"/>
      <c r="K30" s="1"/>
      <c r="L30" s="1"/>
      <c r="M30" s="1"/>
      <c r="N30" s="2"/>
      <c r="O30" s="1"/>
      <c r="P30" s="1"/>
      <c r="Q30" s="1"/>
      <c r="R30" s="2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>
        <f t="shared" si="0"/>
        <v>0</v>
      </c>
      <c r="H31" s="1"/>
      <c r="I31" s="2"/>
      <c r="J31" s="2"/>
      <c r="K31" s="1"/>
      <c r="L31" s="1"/>
      <c r="M31" s="1"/>
      <c r="N31" s="2"/>
      <c r="O31" s="1"/>
      <c r="P31" s="1"/>
      <c r="Q31" s="1"/>
      <c r="R31" s="2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>
        <f t="shared" si="0"/>
        <v>0</v>
      </c>
      <c r="H32" s="2"/>
      <c r="I32" s="1"/>
      <c r="J32" s="2"/>
      <c r="K32" s="1"/>
      <c r="L32" s="1"/>
      <c r="M32" s="1"/>
      <c r="N32" s="2"/>
      <c r="O32" s="1"/>
      <c r="P32" s="1"/>
      <c r="Q32" s="1"/>
      <c r="R32" s="2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>
        <f t="shared" si="0"/>
        <v>0</v>
      </c>
      <c r="H33" s="1"/>
      <c r="I33" s="2"/>
      <c r="J33" s="2"/>
      <c r="K33" s="1"/>
      <c r="L33" s="1"/>
      <c r="M33" s="1"/>
      <c r="N33" s="2"/>
      <c r="O33" s="1"/>
      <c r="P33" s="1"/>
      <c r="Q33" s="1"/>
      <c r="R33" s="2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>
        <f t="shared" si="0"/>
        <v>0</v>
      </c>
      <c r="H34" s="2"/>
      <c r="I34" s="1"/>
      <c r="J34" s="2"/>
      <c r="K34" s="1"/>
      <c r="L34" s="1"/>
      <c r="M34" s="1"/>
      <c r="N34" s="2"/>
      <c r="O34" s="1"/>
      <c r="P34" s="1"/>
      <c r="Q34" s="1"/>
      <c r="R34" s="2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>
        <f t="shared" si="0"/>
        <v>0</v>
      </c>
      <c r="H35" s="1"/>
      <c r="I35" s="2"/>
      <c r="J35" s="2"/>
      <c r="K35" s="1"/>
      <c r="L35" s="1"/>
      <c r="M35" s="1"/>
      <c r="N35" s="2"/>
      <c r="O35" s="1"/>
      <c r="P35" s="1"/>
      <c r="Q35" s="1"/>
      <c r="R35" s="2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>
        <f t="shared" si="0"/>
        <v>0</v>
      </c>
      <c r="H36" s="2"/>
      <c r="I36" s="1"/>
      <c r="J36" s="2"/>
      <c r="K36" s="1"/>
      <c r="L36" s="1"/>
      <c r="M36" s="1"/>
      <c r="N36" s="2"/>
      <c r="O36" s="1"/>
      <c r="P36" s="1"/>
      <c r="Q36" s="1"/>
      <c r="R36" s="2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>
        <f t="shared" si="0"/>
        <v>0</v>
      </c>
      <c r="H37" s="1"/>
      <c r="I37" s="2"/>
      <c r="J37" s="2"/>
      <c r="K37" s="1"/>
      <c r="L37" s="1"/>
      <c r="M37" s="1"/>
      <c r="N37" s="2"/>
      <c r="O37" s="1"/>
      <c r="P37" s="1"/>
      <c r="Q37" s="1"/>
      <c r="R37" s="2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>
        <f t="shared" si="0"/>
        <v>0</v>
      </c>
      <c r="H38" s="2"/>
      <c r="I38" s="1"/>
      <c r="J38" s="2"/>
      <c r="K38" s="1"/>
      <c r="L38" s="1"/>
      <c r="M38" s="1"/>
      <c r="N38" s="2"/>
      <c r="O38" s="1"/>
      <c r="P38" s="1"/>
      <c r="Q38" s="1"/>
      <c r="R38" s="2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>
        <f t="shared" si="0"/>
        <v>0</v>
      </c>
      <c r="H39" s="1"/>
      <c r="I39" s="2"/>
      <c r="J39" s="2"/>
      <c r="K39" s="1"/>
      <c r="L39" s="1"/>
      <c r="M39" s="1"/>
      <c r="N39" s="2"/>
      <c r="O39" s="1"/>
      <c r="P39" s="1"/>
      <c r="Q39" s="1"/>
      <c r="R39" s="2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>
        <f t="shared" si="0"/>
        <v>0</v>
      </c>
      <c r="H40" s="2"/>
      <c r="I40" s="1"/>
      <c r="J40" s="2"/>
      <c r="K40" s="1"/>
      <c r="L40" s="1"/>
      <c r="M40" s="1"/>
      <c r="N40" s="2"/>
      <c r="O40" s="1"/>
      <c r="P40" s="1"/>
      <c r="Q40" s="1"/>
      <c r="R40" s="2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>
        <f t="shared" si="0"/>
        <v>0</v>
      </c>
      <c r="H41" s="1"/>
      <c r="I41" s="2"/>
      <c r="J41" s="2"/>
      <c r="K41" s="1"/>
      <c r="L41" s="1"/>
      <c r="M41" s="1"/>
      <c r="N41" s="2"/>
      <c r="O41" s="1"/>
      <c r="P41" s="1"/>
      <c r="Q41" s="1"/>
      <c r="R41" s="2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>
        <f t="shared" si="0"/>
        <v>0</v>
      </c>
      <c r="H42" s="2"/>
      <c r="I42" s="1"/>
      <c r="J42" s="2"/>
      <c r="K42" s="1"/>
      <c r="L42" s="1"/>
      <c r="M42" s="1"/>
      <c r="N42" s="2"/>
      <c r="O42" s="1"/>
      <c r="P42" s="1"/>
      <c r="Q42" s="1"/>
      <c r="R42" s="2"/>
      <c r="S42" s="1"/>
      <c r="T42" s="1"/>
      <c r="U42" s="1"/>
      <c r="V42" s="1"/>
      <c r="W42" s="1"/>
      <c r="X42" s="1"/>
      <c r="Y42" s="1"/>
      <c r="Z42" s="1"/>
      <c r="AA42" s="1"/>
    </row>
  </sheetData>
  <mergeCells count="18">
    <mergeCell ref="F1:F2"/>
    <mergeCell ref="N1:Q1"/>
    <mergeCell ref="R1:U1"/>
    <mergeCell ref="V1:Y1"/>
    <mergeCell ref="A1:A2"/>
    <mergeCell ref="B1:B2"/>
    <mergeCell ref="C1:C2"/>
    <mergeCell ref="D1:D2"/>
    <mergeCell ref="E1:E2"/>
    <mergeCell ref="G1:G2"/>
    <mergeCell ref="I1:I2"/>
    <mergeCell ref="J1:J2"/>
    <mergeCell ref="K1:K2"/>
    <mergeCell ref="Z1:Z2"/>
    <mergeCell ref="H1:H2"/>
    <mergeCell ref="L1:L2"/>
    <mergeCell ref="M1:M2"/>
    <mergeCell ref="AA1:AA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Unidotaciones del eje</cp:lastModifiedBy>
  <dcterms:created xsi:type="dcterms:W3CDTF">2024-09-28T06:19:23Z</dcterms:created>
  <dcterms:modified xsi:type="dcterms:W3CDTF">2024-10-28T03:50:54Z</dcterms:modified>
</cp:coreProperties>
</file>