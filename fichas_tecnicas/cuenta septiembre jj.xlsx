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70965E7E-F93A-4BF8-8A78-54371DB6AE9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2024" sheetId="1" r:id="rId1"/>
  </sheets>
  <definedNames>
    <definedName name="_xlnm.Print_Area" localSheetId="0">'2024'!$A$1:$M$60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5" i="1" l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 l="1"/>
  <c r="F16" i="1" s="1"/>
</calcChain>
</file>

<file path=xl/sharedStrings.xml><?xml version="1.0" encoding="utf-8"?>
<sst xmlns="http://schemas.openxmlformats.org/spreadsheetml/2006/main" count="53" uniqueCount="42">
  <si>
    <t>(Adquiriente de bienes y servicios a personas no comerciantes o inscritas en el Régimen simplificado. Articulo 3 Decreto 522 de Marzo 7 de 2003)</t>
  </si>
  <si>
    <t xml:space="preserve">Dia </t>
  </si>
  <si>
    <t>Mes</t>
  </si>
  <si>
    <t>C.C.</t>
  </si>
  <si>
    <t xml:space="preserve">FECHA DEL TURNO </t>
  </si>
  <si>
    <t xml:space="preserve">TURNO </t>
  </si>
  <si>
    <t xml:space="preserve">HORAS </t>
  </si>
  <si>
    <t xml:space="preserve">TOTAL DEL SERVICIO </t>
  </si>
  <si>
    <t xml:space="preserve">DD </t>
  </si>
  <si>
    <t>MM</t>
  </si>
  <si>
    <t>AA</t>
  </si>
  <si>
    <t>TOTAL</t>
  </si>
  <si>
    <t>ATENTAMENTE,</t>
  </si>
  <si>
    <t>FIRMA</t>
  </si>
  <si>
    <t xml:space="preserve">C.C. </t>
  </si>
  <si>
    <t xml:space="preserve">DIRECCION: </t>
  </si>
  <si>
    <t>CIUDAD:</t>
  </si>
  <si>
    <t>1. Que pertenezco al Régimen simplificado del impuesto a las ventas.</t>
  </si>
  <si>
    <t>DIXI S.A.S</t>
  </si>
  <si>
    <t>NIT. 900.644.329-6</t>
  </si>
  <si>
    <r>
      <t>NOMBRE Y APELLIDOS</t>
    </r>
    <r>
      <rPr>
        <sz val="11"/>
        <color rgb="FF000000"/>
        <rFont val="Arial"/>
        <family val="2"/>
      </rPr>
      <t xml:space="preserve">:  </t>
    </r>
  </si>
  <si>
    <r>
      <t>LA SUMA DE (LETRAS)</t>
    </r>
    <r>
      <rPr>
        <sz val="11"/>
        <color rgb="FF000000"/>
        <rFont val="Arial"/>
        <family val="2"/>
      </rPr>
      <t xml:space="preserve">: </t>
    </r>
  </si>
  <si>
    <r>
      <t>CEL</t>
    </r>
    <r>
      <rPr>
        <sz val="11"/>
        <color rgb="FF000000"/>
        <rFont val="Arial"/>
        <family val="2"/>
      </rPr>
      <t xml:space="preserve">: </t>
    </r>
  </si>
  <si>
    <t>SEMANA</t>
  </si>
  <si>
    <t xml:space="preserve">FIN SEMANA </t>
  </si>
  <si>
    <r>
      <t>VALOR:</t>
    </r>
    <r>
      <rPr>
        <sz val="11"/>
        <color rgb="FF000000"/>
        <rFont val="Arial"/>
        <family val="2"/>
      </rPr>
      <t xml:space="preserve"> </t>
    </r>
  </si>
  <si>
    <t>El vendedor  voluntariamente bajo la gravedad del juramento declaró:</t>
  </si>
  <si>
    <t>2. Que no estoy obligado a expedir factura de venta ( Art. 42 DEC, 3541/83 Y Art. 511 E.T)</t>
  </si>
  <si>
    <r>
      <t>POR CONCEPTO DE:</t>
    </r>
    <r>
      <rPr>
        <sz val="11"/>
        <color rgb="FF000000"/>
        <rFont val="Arial"/>
        <family val="2"/>
      </rPr>
      <t xml:space="preserve"> </t>
    </r>
  </si>
  <si>
    <t xml:space="preserve">Servicio de salvamento Acuatico </t>
  </si>
  <si>
    <t xml:space="preserve">Fecha: </t>
  </si>
  <si>
    <t>VALOR HORA</t>
  </si>
  <si>
    <t>x</t>
  </si>
  <si>
    <t>ejemplo</t>
  </si>
  <si>
    <r>
      <t xml:space="preserve">COSIGNAR A LA CUENTA DE AHORROS BANCO DE BOGOTÁ NRO </t>
    </r>
    <r>
      <rPr>
        <b/>
        <sz val="11"/>
        <color rgb="FFFF0000"/>
        <rFont val="Arial"/>
        <family val="2"/>
      </rPr>
      <t>XXXXXXXX</t>
    </r>
  </si>
  <si>
    <t>Año</t>
  </si>
  <si>
    <t>DEBE A: julian camilo calderon gonzalez</t>
  </si>
  <si>
    <t xml:space="preserve">julian camilo calderon gonzalez </t>
  </si>
  <si>
    <t>cra 3 norte #23-33</t>
  </si>
  <si>
    <t>cartago valle</t>
  </si>
  <si>
    <t xml:space="preserve">seiscientos setenta mil pesos </t>
  </si>
  <si>
    <t>CUENTA DE COBRO #   9 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</si>
</sst>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&quot;$ &quot;* #,##0.00_);_(&quot;$ &quot;* \(#,##0.00\);_(&quot;$ &quot;* \-??_);_(@_)"/>
    <numFmt numFmtId="166" formatCode="&quot;$&quot;\ #,##0.00"/>
    <numFmt numFmtId="167" formatCode="_(&quot;$ &quot;* #,##0_);_(&quot;$ &quot;* \(#,##0\);_(&quot;$ &quot;* \-??_);_(@_)"/>
    <numFmt numFmtId="168" formatCode="&quot;$&quot;\ #,##0"/>
  </numFmts>
  <fonts count="11" x14ac:knownFonts="1">
    <font>
      <sz val="11"/>
      <color rgb="FF000000"/>
      <name val="Calibri"/>
      <family val="2"/>
      <charset val="1"/>
    </font>
    <font>
      <sz val="14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7"/>
      <color rgb="FF000000"/>
      <name val="Calibri"/>
      <family val="2"/>
      <charset val="1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5" fontId="2" fillId="0" borderId="0" applyBorder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164" fontId="0" fillId="0" borderId="0" xfId="0" applyNumberFormat="1"/>
    <xf numFmtId="0" fontId="6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8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5" fontId="8" fillId="2" borderId="2" xfId="1" applyFont="1" applyFill="1" applyBorder="1" applyAlignment="1" applyProtection="1">
      <alignment horizontal="center" vertical="center"/>
    </xf>
    <xf numFmtId="166" fontId="5" fillId="0" borderId="0" xfId="1" applyNumberFormat="1" applyFont="1" applyBorder="1" applyAlignment="1">
      <alignment vertical="center"/>
    </xf>
    <xf numFmtId="0" fontId="5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7" fontId="8" fillId="0" borderId="2" xfId="1" applyNumberFormat="1" applyFont="1" applyBorder="1" applyAlignment="1" applyProtection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6" xfId="0" applyFont="1" applyBorder="1"/>
    <xf numFmtId="0" fontId="4" fillId="0" borderId="7" xfId="0" applyFont="1" applyBorder="1"/>
    <xf numFmtId="0" fontId="5" fillId="4" borderId="2" xfId="0" applyFont="1" applyFill="1" applyBorder="1" applyAlignment="1">
      <alignment horizontal="center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167" fontId="9" fillId="0" borderId="2" xfId="1" applyNumberFormat="1" applyFont="1" applyBorder="1" applyAlignment="1" applyProtection="1">
      <alignment horizontal="center" vertical="center"/>
    </xf>
    <xf numFmtId="0" fontId="9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168" fontId="5" fillId="0" borderId="2" xfId="1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3" fontId="5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7" fontId="5" fillId="0" borderId="10" xfId="1" applyNumberFormat="1" applyFont="1" applyBorder="1" applyAlignment="1" applyProtection="1">
      <alignment horizontal="center" vertical="center"/>
    </xf>
    <xf numFmtId="167" fontId="5" fillId="0" borderId="12" xfId="1" applyNumberFormat="1" applyFont="1" applyBorder="1" applyAlignment="1" applyProtection="1">
      <alignment horizontal="center" vertical="center"/>
    </xf>
    <xf numFmtId="167" fontId="5" fillId="0" borderId="11" xfId="1" applyNumberFormat="1" applyFont="1" applyBorder="1" applyAlignment="1" applyProtection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66FFFF"/>
      <color rgb="FF66FF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865911</xdr:colOff>
      <xdr:row>64</xdr:row>
      <xdr:rowOff>145804</xdr:rowOff>
    </xdr:from>
    <xdr:to>
      <xdr:col>5</xdr:col>
      <xdr:colOff>900547</xdr:colOff>
      <xdr:row>67</xdr:row>
      <xdr:rowOff>53794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866" y="11861554"/>
          <a:ext cx="1740476" cy="488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zoomScale="110" zoomScaleNormal="110" workbookViewId="0">
      <selection activeCell="K38" sqref="K38"/>
    </sheetView>
  </sheetViews>
  <sheetFormatPr baseColWidth="10" defaultColWidth="10.6640625" defaultRowHeight="14.4" x14ac:dyDescent="0.3"/>
  <cols>
    <col min="1" max="1" width="7.5546875" customWidth="1"/>
    <col min="2" max="2" width="11.33203125" customWidth="1"/>
    <col min="3" max="3" width="10.5546875" customWidth="1"/>
    <col min="4" max="4" width="13.5546875" customWidth="1"/>
    <col min="5" max="5" width="12" customWidth="1"/>
    <col min="6" max="6" width="16.33203125" customWidth="1"/>
    <col min="7" max="7" width="8.5546875" customWidth="1"/>
    <col min="8" max="8" width="14.88671875" customWidth="1"/>
    <col min="9" max="9" width="20.88671875" customWidth="1"/>
    <col min="10" max="10" width="10.33203125" customWidth="1"/>
    <col min="11" max="11" width="17.33203125" customWidth="1"/>
    <col min="12" max="12" width="16.33203125" customWidth="1"/>
    <col min="14" max="14" width="11.5546875" bestFit="1" customWidth="1"/>
  </cols>
  <sheetData>
    <row r="1" spans="1:13" ht="15" customHeigh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10.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ht="10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" customHeight="1" x14ac:dyDescent="0.3">
      <c r="A4" s="6"/>
      <c r="C4" s="6" t="s">
        <v>30</v>
      </c>
      <c r="D4" s="7" t="s">
        <v>1</v>
      </c>
      <c r="E4" s="8">
        <v>30</v>
      </c>
      <c r="F4" s="7" t="s">
        <v>2</v>
      </c>
      <c r="G4" s="8">
        <v>9</v>
      </c>
      <c r="H4" s="7" t="s">
        <v>35</v>
      </c>
      <c r="I4" s="8">
        <v>2025</v>
      </c>
      <c r="J4" s="6"/>
      <c r="K4" s="6"/>
      <c r="L4" s="6"/>
      <c r="M4" s="6"/>
    </row>
    <row r="5" spans="1:13" ht="10.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4.25" customHeight="1" x14ac:dyDescent="0.3">
      <c r="A6" s="6"/>
      <c r="B6" s="47" t="s">
        <v>41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1:13" ht="14.25" customHeight="1" x14ac:dyDescent="0.3">
      <c r="A7" s="6"/>
      <c r="B7" s="47" t="s">
        <v>18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3" ht="14.25" customHeight="1" x14ac:dyDescent="0.3">
      <c r="A8" s="6"/>
      <c r="B8" s="47" t="s">
        <v>19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</row>
    <row r="9" spans="1:13" ht="10.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" customHeight="1" x14ac:dyDescent="0.3">
      <c r="A10" s="6"/>
      <c r="B10" s="6"/>
      <c r="C10" s="6"/>
      <c r="D10" s="6"/>
      <c r="E10" s="6"/>
      <c r="F10" s="6"/>
      <c r="G10" s="47" t="s">
        <v>36</v>
      </c>
      <c r="H10" s="47"/>
      <c r="J10" s="6"/>
      <c r="K10" s="6"/>
      <c r="L10" s="6"/>
      <c r="M10" s="6"/>
    </row>
    <row r="11" spans="1:13" ht="10.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75" customHeight="1" x14ac:dyDescent="0.3">
      <c r="A12" s="6"/>
      <c r="B12" s="47" t="s">
        <v>20</v>
      </c>
      <c r="C12" s="47"/>
      <c r="D12" s="47"/>
      <c r="E12" s="6"/>
      <c r="F12" s="51" t="s">
        <v>37</v>
      </c>
      <c r="G12" s="51"/>
      <c r="H12" s="51"/>
      <c r="I12" s="51"/>
      <c r="J12" s="19"/>
      <c r="K12" s="19"/>
      <c r="L12" s="19"/>
      <c r="M12" s="6"/>
    </row>
    <row r="13" spans="1:13" ht="10.5" customHeight="1" x14ac:dyDescent="0.3">
      <c r="A13" s="6"/>
      <c r="B13" s="6"/>
      <c r="C13" s="6"/>
      <c r="D13" s="6"/>
      <c r="E13" s="6"/>
      <c r="F13" s="19"/>
      <c r="G13" s="19"/>
      <c r="H13" s="19"/>
      <c r="I13" s="19"/>
      <c r="J13" s="6"/>
      <c r="K13" s="6"/>
      <c r="L13" s="6"/>
      <c r="M13" s="6"/>
    </row>
    <row r="14" spans="1:13" ht="13.5" customHeight="1" x14ac:dyDescent="0.3">
      <c r="A14" s="6"/>
      <c r="B14" s="47" t="s">
        <v>3</v>
      </c>
      <c r="C14" s="47"/>
      <c r="D14" s="47"/>
      <c r="F14" s="54">
        <v>1001219407</v>
      </c>
      <c r="G14" s="51"/>
      <c r="H14" s="51"/>
      <c r="I14" s="51"/>
      <c r="M14" s="6"/>
    </row>
    <row r="15" spans="1:13" ht="10.5" customHeight="1" x14ac:dyDescent="0.3">
      <c r="A15" s="6"/>
      <c r="B15" s="6"/>
      <c r="C15" s="6"/>
      <c r="D15" s="6"/>
      <c r="E15" s="6"/>
      <c r="F15" s="19"/>
      <c r="G15" s="19"/>
      <c r="H15" s="19"/>
      <c r="I15" s="19"/>
      <c r="J15" s="6"/>
      <c r="K15" s="6"/>
      <c r="L15" s="6"/>
      <c r="M15" s="6"/>
    </row>
    <row r="16" spans="1:13" ht="16.5" customHeight="1" x14ac:dyDescent="0.3">
      <c r="A16" s="6"/>
      <c r="B16" s="47" t="s">
        <v>25</v>
      </c>
      <c r="C16" s="47"/>
      <c r="D16" s="47"/>
      <c r="E16" s="18"/>
      <c r="F16" s="52">
        <f>I60</f>
        <v>670000</v>
      </c>
      <c r="G16" s="52"/>
      <c r="H16" s="52"/>
      <c r="I16" s="52"/>
      <c r="J16" s="18"/>
      <c r="K16" s="18"/>
      <c r="L16" s="18"/>
      <c r="M16" s="6"/>
    </row>
    <row r="17" spans="1:17" ht="10.5" customHeight="1" x14ac:dyDescent="0.3">
      <c r="A17" s="6"/>
      <c r="B17" s="6"/>
      <c r="C17" s="6"/>
      <c r="D17" s="6"/>
      <c r="E17" s="6"/>
      <c r="F17" s="19"/>
      <c r="G17" s="19"/>
      <c r="H17" s="19"/>
      <c r="I17" s="19"/>
      <c r="J17" s="6"/>
      <c r="K17" s="6"/>
      <c r="L17" s="6"/>
      <c r="M17" s="6"/>
    </row>
    <row r="18" spans="1:17" ht="15" customHeight="1" x14ac:dyDescent="0.3">
      <c r="A18" s="6"/>
      <c r="B18" s="47" t="s">
        <v>21</v>
      </c>
      <c r="C18" s="47"/>
      <c r="D18" s="47"/>
      <c r="E18" s="6"/>
      <c r="F18" s="51" t="s">
        <v>40</v>
      </c>
      <c r="G18" s="51"/>
      <c r="H18" s="51"/>
      <c r="I18" s="51"/>
      <c r="J18" s="19"/>
      <c r="K18" s="19"/>
      <c r="L18" s="19"/>
      <c r="M18" s="19"/>
      <c r="N18" s="12"/>
    </row>
    <row r="19" spans="1:17" ht="10.5" customHeight="1" x14ac:dyDescent="0.3">
      <c r="A19" s="6"/>
      <c r="B19" s="6"/>
      <c r="C19" s="6"/>
      <c r="D19" s="6"/>
      <c r="E19" s="6"/>
      <c r="F19" s="19"/>
      <c r="G19" s="19"/>
      <c r="H19" s="19"/>
      <c r="I19" s="19"/>
      <c r="J19" s="6"/>
      <c r="K19" s="6"/>
      <c r="L19" s="6"/>
      <c r="M19" s="6"/>
    </row>
    <row r="20" spans="1:17" ht="18" customHeight="1" x14ac:dyDescent="0.3">
      <c r="A20" s="6"/>
      <c r="B20" s="50" t="s">
        <v>28</v>
      </c>
      <c r="C20" s="50"/>
      <c r="D20" s="50"/>
      <c r="E20" s="30"/>
      <c r="F20" s="50" t="s">
        <v>29</v>
      </c>
      <c r="G20" s="50"/>
      <c r="H20" s="50"/>
      <c r="I20" s="50"/>
      <c r="J20" s="14"/>
      <c r="K20" s="14"/>
      <c r="L20" s="14"/>
      <c r="M20" s="14"/>
      <c r="N20" s="3"/>
      <c r="O20" s="3"/>
      <c r="P20" s="3"/>
      <c r="Q20" s="3"/>
    </row>
    <row r="21" spans="1:17" ht="18" customHeight="1" x14ac:dyDescent="0.3">
      <c r="A21" s="6"/>
      <c r="B21" s="50"/>
      <c r="C21" s="50"/>
      <c r="D21" s="50"/>
      <c r="E21" s="30"/>
      <c r="F21" s="50"/>
      <c r="G21" s="50"/>
      <c r="H21" s="50"/>
      <c r="I21" s="50"/>
      <c r="J21" s="14"/>
      <c r="K21" s="14"/>
      <c r="L21" s="14"/>
      <c r="M21" s="14"/>
      <c r="N21" s="1"/>
      <c r="O21" s="1"/>
      <c r="P21" s="1"/>
      <c r="Q21" s="1"/>
    </row>
    <row r="22" spans="1:17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7" ht="15" customHeight="1" x14ac:dyDescent="0.3">
      <c r="A23" s="6"/>
      <c r="B23" s="44" t="s">
        <v>4</v>
      </c>
      <c r="C23" s="44"/>
      <c r="D23" s="44"/>
      <c r="E23" s="44" t="s">
        <v>5</v>
      </c>
      <c r="F23" s="44"/>
      <c r="G23" s="44" t="s">
        <v>6</v>
      </c>
      <c r="H23" s="45" t="s">
        <v>31</v>
      </c>
      <c r="I23" s="45" t="s">
        <v>7</v>
      </c>
      <c r="J23" s="6"/>
    </row>
    <row r="24" spans="1:17" x14ac:dyDescent="0.3">
      <c r="A24" s="6"/>
      <c r="B24" s="28" t="s">
        <v>8</v>
      </c>
      <c r="C24" s="28" t="s">
        <v>9</v>
      </c>
      <c r="D24" s="28" t="s">
        <v>10</v>
      </c>
      <c r="E24" s="28" t="s">
        <v>23</v>
      </c>
      <c r="F24" s="28" t="s">
        <v>24</v>
      </c>
      <c r="G24" s="44"/>
      <c r="H24" s="45"/>
      <c r="I24" s="45"/>
      <c r="J24" s="6"/>
    </row>
    <row r="25" spans="1:17" x14ac:dyDescent="0.3">
      <c r="A25" s="6"/>
      <c r="B25" s="35">
        <v>4</v>
      </c>
      <c r="C25" s="35">
        <v>9</v>
      </c>
      <c r="D25" s="35">
        <v>2025</v>
      </c>
      <c r="E25" s="35" t="s">
        <v>32</v>
      </c>
      <c r="F25" s="35"/>
      <c r="G25" s="35">
        <v>5</v>
      </c>
      <c r="H25" s="36">
        <v>10000</v>
      </c>
      <c r="I25" s="23">
        <f>G25*H25</f>
        <v>50000</v>
      </c>
      <c r="J25" s="37" t="s">
        <v>33</v>
      </c>
      <c r="K25" s="12"/>
    </row>
    <row r="26" spans="1:17" x14ac:dyDescent="0.3">
      <c r="A26" s="6"/>
      <c r="B26" s="35">
        <v>5</v>
      </c>
      <c r="C26" s="35">
        <v>9</v>
      </c>
      <c r="D26" s="35">
        <v>2025</v>
      </c>
      <c r="E26" s="35" t="s">
        <v>32</v>
      </c>
      <c r="F26" s="35"/>
      <c r="G26" s="35">
        <v>5</v>
      </c>
      <c r="H26" s="36">
        <v>10000</v>
      </c>
      <c r="I26" s="23">
        <f t="shared" ref="I26:I59" si="0">G26*H26</f>
        <v>50000</v>
      </c>
      <c r="J26" s="6"/>
    </row>
    <row r="27" spans="1:17" x14ac:dyDescent="0.3">
      <c r="A27" s="6"/>
      <c r="B27" s="35">
        <v>7</v>
      </c>
      <c r="C27" s="35">
        <v>9</v>
      </c>
      <c r="D27" s="35">
        <v>2025</v>
      </c>
      <c r="E27" s="35"/>
      <c r="F27" s="35" t="s">
        <v>32</v>
      </c>
      <c r="G27" s="35">
        <v>5</v>
      </c>
      <c r="H27" s="36">
        <v>10000</v>
      </c>
      <c r="I27" s="23">
        <f t="shared" si="0"/>
        <v>50000</v>
      </c>
      <c r="J27" s="6"/>
    </row>
    <row r="28" spans="1:17" x14ac:dyDescent="0.3">
      <c r="A28" s="6"/>
      <c r="B28" s="35">
        <v>10</v>
      </c>
      <c r="C28" s="35">
        <v>9</v>
      </c>
      <c r="D28" s="35">
        <v>2025</v>
      </c>
      <c r="E28" s="35" t="s">
        <v>32</v>
      </c>
      <c r="F28" s="35"/>
      <c r="G28" s="35">
        <v>5</v>
      </c>
      <c r="H28" s="36">
        <v>10000</v>
      </c>
      <c r="I28" s="23">
        <f t="shared" si="0"/>
        <v>50000</v>
      </c>
      <c r="J28" s="6"/>
    </row>
    <row r="29" spans="1:17" x14ac:dyDescent="0.3">
      <c r="A29" s="6"/>
      <c r="B29" s="35">
        <v>11</v>
      </c>
      <c r="C29" s="35">
        <v>9</v>
      </c>
      <c r="D29" s="35">
        <v>2025</v>
      </c>
      <c r="E29" s="35" t="s">
        <v>32</v>
      </c>
      <c r="F29" s="35"/>
      <c r="G29" s="35">
        <v>5</v>
      </c>
      <c r="H29" s="36">
        <v>10000</v>
      </c>
      <c r="I29" s="23">
        <f t="shared" si="0"/>
        <v>50000</v>
      </c>
      <c r="J29" s="6"/>
    </row>
    <row r="30" spans="1:17" x14ac:dyDescent="0.3">
      <c r="A30" s="6"/>
      <c r="B30" s="35">
        <v>12</v>
      </c>
      <c r="C30" s="35">
        <v>9</v>
      </c>
      <c r="D30" s="35">
        <v>2025</v>
      </c>
      <c r="E30" s="35" t="s">
        <v>32</v>
      </c>
      <c r="F30" s="35"/>
      <c r="G30" s="35">
        <v>5</v>
      </c>
      <c r="H30" s="36">
        <v>10000</v>
      </c>
      <c r="I30" s="23">
        <f t="shared" si="0"/>
        <v>50000</v>
      </c>
      <c r="J30" s="6"/>
      <c r="K30" s="11"/>
    </row>
    <row r="31" spans="1:17" x14ac:dyDescent="0.3">
      <c r="A31" s="6"/>
      <c r="B31" s="35"/>
      <c r="C31" s="35"/>
      <c r="D31" s="35"/>
      <c r="E31" s="35"/>
      <c r="F31" s="35"/>
      <c r="G31" s="35"/>
      <c r="H31" s="36">
        <v>10000</v>
      </c>
      <c r="I31" s="23">
        <f t="shared" si="0"/>
        <v>0</v>
      </c>
      <c r="J31" s="6"/>
    </row>
    <row r="32" spans="1:17" x14ac:dyDescent="0.3">
      <c r="A32" s="6"/>
      <c r="B32" s="35">
        <v>17</v>
      </c>
      <c r="C32" s="35">
        <v>9</v>
      </c>
      <c r="D32" s="35">
        <v>2025</v>
      </c>
      <c r="E32" s="35" t="s">
        <v>32</v>
      </c>
      <c r="F32" s="35"/>
      <c r="G32" s="35">
        <v>5</v>
      </c>
      <c r="H32" s="36">
        <v>10000</v>
      </c>
      <c r="I32" s="23">
        <f t="shared" si="0"/>
        <v>50000</v>
      </c>
      <c r="J32" s="6"/>
    </row>
    <row r="33" spans="1:12" x14ac:dyDescent="0.3">
      <c r="A33" s="6"/>
      <c r="B33" s="35">
        <v>18</v>
      </c>
      <c r="C33" s="35">
        <v>9</v>
      </c>
      <c r="D33" s="35">
        <v>2025</v>
      </c>
      <c r="E33" s="35" t="s">
        <v>32</v>
      </c>
      <c r="F33" s="35"/>
      <c r="G33" s="35">
        <v>5</v>
      </c>
      <c r="H33" s="36">
        <v>10000</v>
      </c>
      <c r="I33" s="23">
        <f t="shared" si="0"/>
        <v>50000</v>
      </c>
      <c r="J33" s="6"/>
    </row>
    <row r="34" spans="1:12" x14ac:dyDescent="0.3">
      <c r="A34" s="6"/>
      <c r="B34" s="35">
        <v>19</v>
      </c>
      <c r="C34" s="35">
        <v>9</v>
      </c>
      <c r="D34" s="35">
        <v>2025</v>
      </c>
      <c r="E34" s="35" t="s">
        <v>32</v>
      </c>
      <c r="F34" s="35"/>
      <c r="G34" s="35">
        <v>5</v>
      </c>
      <c r="H34" s="36">
        <v>10000</v>
      </c>
      <c r="I34" s="23">
        <f t="shared" si="0"/>
        <v>50000</v>
      </c>
      <c r="J34" s="6"/>
    </row>
    <row r="35" spans="1:12" x14ac:dyDescent="0.3">
      <c r="A35" s="6"/>
      <c r="B35" s="35">
        <v>21</v>
      </c>
      <c r="C35" s="35">
        <v>9</v>
      </c>
      <c r="D35" s="35">
        <v>2025</v>
      </c>
      <c r="E35" s="35"/>
      <c r="F35" s="35" t="s">
        <v>32</v>
      </c>
      <c r="G35" s="35">
        <v>9</v>
      </c>
      <c r="H35" s="36">
        <v>10000</v>
      </c>
      <c r="I35" s="23">
        <f t="shared" si="0"/>
        <v>90000</v>
      </c>
      <c r="J35" s="6"/>
    </row>
    <row r="36" spans="1:12" x14ac:dyDescent="0.3">
      <c r="A36" s="6"/>
      <c r="B36" s="35">
        <v>26</v>
      </c>
      <c r="C36" s="35">
        <v>9</v>
      </c>
      <c r="D36" s="35">
        <v>2025</v>
      </c>
      <c r="E36" s="35" t="s">
        <v>32</v>
      </c>
      <c r="F36" s="35"/>
      <c r="G36" s="35">
        <v>5</v>
      </c>
      <c r="H36" s="36">
        <v>10000</v>
      </c>
      <c r="I36" s="23">
        <f t="shared" si="0"/>
        <v>50000</v>
      </c>
      <c r="J36" s="6"/>
    </row>
    <row r="37" spans="1:12" x14ac:dyDescent="0.3">
      <c r="A37" s="6"/>
      <c r="B37" s="35">
        <v>28</v>
      </c>
      <c r="C37" s="35">
        <v>9</v>
      </c>
      <c r="D37" s="35">
        <v>2025</v>
      </c>
      <c r="E37" s="35"/>
      <c r="F37" s="35" t="s">
        <v>32</v>
      </c>
      <c r="G37" s="35">
        <v>8</v>
      </c>
      <c r="H37" s="36">
        <v>10000</v>
      </c>
      <c r="I37" s="23">
        <f t="shared" si="0"/>
        <v>80000</v>
      </c>
      <c r="J37" s="6"/>
    </row>
    <row r="38" spans="1:12" x14ac:dyDescent="0.3">
      <c r="A38" s="6"/>
      <c r="B38" s="35"/>
      <c r="C38" s="35"/>
      <c r="D38" s="35"/>
      <c r="E38" s="35"/>
      <c r="F38" s="35"/>
      <c r="G38" s="35"/>
      <c r="H38" s="35"/>
      <c r="I38" s="23">
        <f t="shared" si="0"/>
        <v>0</v>
      </c>
      <c r="J38" s="6"/>
    </row>
    <row r="39" spans="1:12" x14ac:dyDescent="0.3">
      <c r="A39" s="6"/>
      <c r="B39" s="35"/>
      <c r="C39" s="35"/>
      <c r="D39" s="35"/>
      <c r="E39" s="35"/>
      <c r="F39" s="35"/>
      <c r="G39" s="35"/>
      <c r="H39" s="35"/>
      <c r="I39" s="23">
        <f t="shared" si="0"/>
        <v>0</v>
      </c>
      <c r="J39" s="6"/>
    </row>
    <row r="40" spans="1:12" x14ac:dyDescent="0.3">
      <c r="A40" s="6"/>
      <c r="B40" s="35"/>
      <c r="C40" s="35"/>
      <c r="D40" s="35"/>
      <c r="E40" s="35"/>
      <c r="F40" s="35"/>
      <c r="G40" s="35"/>
      <c r="H40" s="35"/>
      <c r="I40" s="23">
        <f t="shared" si="0"/>
        <v>0</v>
      </c>
      <c r="J40" s="6"/>
    </row>
    <row r="41" spans="1:12" ht="16.5" customHeight="1" x14ac:dyDescent="0.3">
      <c r="A41" s="6"/>
      <c r="B41" s="35"/>
      <c r="C41" s="35"/>
      <c r="D41" s="35"/>
      <c r="E41" s="35"/>
      <c r="F41" s="35"/>
      <c r="G41" s="35"/>
      <c r="H41" s="35"/>
      <c r="I41" s="23">
        <f t="shared" si="0"/>
        <v>0</v>
      </c>
      <c r="J41" s="6"/>
    </row>
    <row r="42" spans="1:12" ht="15.75" customHeight="1" x14ac:dyDescent="0.3">
      <c r="A42" s="6"/>
      <c r="B42" s="35"/>
      <c r="C42" s="35"/>
      <c r="D42" s="35"/>
      <c r="E42" s="35"/>
      <c r="F42" s="35"/>
      <c r="G42" s="35"/>
      <c r="H42" s="35"/>
      <c r="I42" s="23">
        <f t="shared" si="0"/>
        <v>0</v>
      </c>
      <c r="J42" s="6"/>
    </row>
    <row r="43" spans="1:12" x14ac:dyDescent="0.3">
      <c r="A43" s="6"/>
      <c r="B43" s="35"/>
      <c r="C43" s="35"/>
      <c r="D43" s="35"/>
      <c r="E43" s="35"/>
      <c r="F43" s="35"/>
      <c r="G43" s="35"/>
      <c r="H43" s="35"/>
      <c r="I43" s="23">
        <f t="shared" si="0"/>
        <v>0</v>
      </c>
      <c r="J43" s="6"/>
    </row>
    <row r="44" spans="1:12" x14ac:dyDescent="0.3">
      <c r="A44" s="6"/>
      <c r="B44" s="35"/>
      <c r="C44" s="35"/>
      <c r="D44" s="35"/>
      <c r="E44" s="35"/>
      <c r="F44" s="35"/>
      <c r="G44" s="35"/>
      <c r="H44" s="35"/>
      <c r="I44" s="23">
        <f t="shared" si="0"/>
        <v>0</v>
      </c>
      <c r="J44" s="6"/>
    </row>
    <row r="45" spans="1:12" ht="15" customHeight="1" x14ac:dyDescent="0.3">
      <c r="A45" s="6"/>
      <c r="B45" s="35"/>
      <c r="C45" s="35"/>
      <c r="D45" s="35"/>
      <c r="E45" s="35"/>
      <c r="F45" s="35"/>
      <c r="G45" s="35"/>
      <c r="H45" s="35"/>
      <c r="I45" s="23">
        <f t="shared" si="0"/>
        <v>0</v>
      </c>
      <c r="J45" s="16"/>
      <c r="K45" s="4"/>
      <c r="L45" s="4"/>
    </row>
    <row r="46" spans="1:12" s="2" customFormat="1" ht="15" customHeight="1" x14ac:dyDescent="0.25">
      <c r="A46" s="9"/>
      <c r="B46" s="32"/>
      <c r="C46" s="21"/>
      <c r="D46" s="21"/>
      <c r="E46" s="31"/>
      <c r="F46" s="31"/>
      <c r="G46" s="22"/>
      <c r="H46" s="23"/>
      <c r="I46" s="23">
        <f t="shared" si="0"/>
        <v>0</v>
      </c>
      <c r="J46" s="16"/>
      <c r="K46" s="4"/>
      <c r="L46" s="4"/>
    </row>
    <row r="47" spans="1:12" x14ac:dyDescent="0.3">
      <c r="A47" s="6"/>
      <c r="B47" s="32"/>
      <c r="C47" s="21"/>
      <c r="D47" s="21"/>
      <c r="E47" s="31"/>
      <c r="F47" s="31"/>
      <c r="G47" s="22"/>
      <c r="H47" s="23"/>
      <c r="I47" s="23">
        <f t="shared" si="0"/>
        <v>0</v>
      </c>
      <c r="J47" s="6"/>
    </row>
    <row r="48" spans="1:12" x14ac:dyDescent="0.3">
      <c r="A48" s="6"/>
      <c r="B48" s="32"/>
      <c r="C48" s="21"/>
      <c r="D48" s="21"/>
      <c r="E48" s="31"/>
      <c r="F48" s="31"/>
      <c r="G48" s="22"/>
      <c r="H48" s="23"/>
      <c r="I48" s="23">
        <f t="shared" si="0"/>
        <v>0</v>
      </c>
      <c r="J48" s="6"/>
    </row>
    <row r="49" spans="1:13" x14ac:dyDescent="0.3">
      <c r="A49" s="6"/>
      <c r="B49" s="32"/>
      <c r="C49" s="21"/>
      <c r="D49" s="21"/>
      <c r="E49" s="31"/>
      <c r="F49" s="31"/>
      <c r="G49" s="22"/>
      <c r="H49" s="23"/>
      <c r="I49" s="23">
        <f t="shared" si="0"/>
        <v>0</v>
      </c>
      <c r="J49" s="6"/>
    </row>
    <row r="50" spans="1:13" x14ac:dyDescent="0.3">
      <c r="A50" s="6"/>
      <c r="B50" s="32"/>
      <c r="C50" s="21"/>
      <c r="D50" s="21"/>
      <c r="E50" s="31"/>
      <c r="F50" s="31"/>
      <c r="G50" s="22"/>
      <c r="H50" s="23"/>
      <c r="I50" s="23">
        <f t="shared" si="0"/>
        <v>0</v>
      </c>
      <c r="J50" s="6"/>
    </row>
    <row r="51" spans="1:13" x14ac:dyDescent="0.3">
      <c r="A51" s="6"/>
      <c r="B51" s="32"/>
      <c r="C51" s="21"/>
      <c r="D51" s="21"/>
      <c r="E51" s="31"/>
      <c r="F51" s="31"/>
      <c r="G51" s="22"/>
      <c r="H51" s="23"/>
      <c r="I51" s="23">
        <f t="shared" si="0"/>
        <v>0</v>
      </c>
      <c r="J51" s="6"/>
    </row>
    <row r="52" spans="1:13" x14ac:dyDescent="0.3">
      <c r="A52" s="6"/>
      <c r="B52" s="32"/>
      <c r="C52" s="21"/>
      <c r="D52" s="21"/>
      <c r="E52" s="31"/>
      <c r="F52" s="31"/>
      <c r="G52" s="22"/>
      <c r="H52" s="23"/>
      <c r="I52" s="23">
        <f t="shared" si="0"/>
        <v>0</v>
      </c>
      <c r="J52" s="6"/>
    </row>
    <row r="53" spans="1:13" x14ac:dyDescent="0.3">
      <c r="A53" s="6"/>
      <c r="B53" s="32"/>
      <c r="C53" s="21"/>
      <c r="D53" s="21"/>
      <c r="E53" s="31"/>
      <c r="F53" s="31"/>
      <c r="G53" s="22"/>
      <c r="H53" s="23"/>
      <c r="I53" s="23">
        <f t="shared" si="0"/>
        <v>0</v>
      </c>
      <c r="J53" s="6"/>
    </row>
    <row r="54" spans="1:13" x14ac:dyDescent="0.3">
      <c r="A54" s="6"/>
      <c r="B54" s="32"/>
      <c r="C54" s="21"/>
      <c r="D54" s="21"/>
      <c r="E54" s="31"/>
      <c r="F54" s="31"/>
      <c r="G54" s="22"/>
      <c r="H54" s="23"/>
      <c r="I54" s="23">
        <f t="shared" si="0"/>
        <v>0</v>
      </c>
      <c r="J54" s="6"/>
    </row>
    <row r="55" spans="1:13" x14ac:dyDescent="0.3">
      <c r="A55" s="6"/>
      <c r="B55" s="32"/>
      <c r="C55" s="21"/>
      <c r="D55" s="21"/>
      <c r="E55" s="31"/>
      <c r="F55" s="31"/>
      <c r="G55" s="22"/>
      <c r="H55" s="23"/>
      <c r="I55" s="23">
        <f t="shared" si="0"/>
        <v>0</v>
      </c>
      <c r="J55" s="6"/>
    </row>
    <row r="56" spans="1:13" ht="15.75" customHeight="1" x14ac:dyDescent="0.3">
      <c r="A56" s="6"/>
      <c r="B56" s="32"/>
      <c r="C56" s="21"/>
      <c r="D56" s="21"/>
      <c r="E56" s="31"/>
      <c r="F56" s="31"/>
      <c r="G56" s="22"/>
      <c r="H56" s="23"/>
      <c r="I56" s="23">
        <f t="shared" si="0"/>
        <v>0</v>
      </c>
      <c r="J56" s="10"/>
    </row>
    <row r="57" spans="1:13" ht="15.75" customHeight="1" x14ac:dyDescent="0.3">
      <c r="A57" s="6"/>
      <c r="B57" s="32"/>
      <c r="C57" s="21"/>
      <c r="D57" s="21"/>
      <c r="E57" s="31"/>
      <c r="F57" s="31"/>
      <c r="G57" s="22"/>
      <c r="H57" s="23"/>
      <c r="I57" s="23">
        <f t="shared" si="0"/>
        <v>0</v>
      </c>
      <c r="J57" s="6"/>
    </row>
    <row r="58" spans="1:13" x14ac:dyDescent="0.3">
      <c r="A58" s="6"/>
      <c r="B58" s="32"/>
      <c r="C58" s="21"/>
      <c r="D58" s="21"/>
      <c r="E58" s="31"/>
      <c r="F58" s="31"/>
      <c r="G58" s="22"/>
      <c r="H58" s="23"/>
      <c r="I58" s="23">
        <f t="shared" si="0"/>
        <v>0</v>
      </c>
      <c r="J58" s="6"/>
    </row>
    <row r="59" spans="1:13" x14ac:dyDescent="0.3">
      <c r="A59" s="6"/>
      <c r="B59" s="33"/>
      <c r="C59" s="20"/>
      <c r="D59" s="20"/>
      <c r="E59" s="34"/>
      <c r="F59" s="34"/>
      <c r="G59" s="15"/>
      <c r="H59" s="17"/>
      <c r="I59" s="23">
        <f t="shared" si="0"/>
        <v>0</v>
      </c>
      <c r="J59" s="6"/>
    </row>
    <row r="60" spans="1:13" ht="15" customHeight="1" x14ac:dyDescent="0.3">
      <c r="A60" s="6"/>
      <c r="B60" s="55" t="s">
        <v>34</v>
      </c>
      <c r="C60" s="56"/>
      <c r="D60" s="56"/>
      <c r="E60" s="56"/>
      <c r="F60" s="56"/>
      <c r="G60" s="57"/>
      <c r="H60" s="64" t="s">
        <v>11</v>
      </c>
      <c r="I60" s="67">
        <f>SUM(I25:I59)</f>
        <v>670000</v>
      </c>
      <c r="J60" s="29"/>
    </row>
    <row r="61" spans="1:13" ht="15" customHeight="1" x14ac:dyDescent="0.3">
      <c r="A61" s="6"/>
      <c r="B61" s="58"/>
      <c r="C61" s="59"/>
      <c r="D61" s="59"/>
      <c r="E61" s="59"/>
      <c r="F61" s="59"/>
      <c r="G61" s="60"/>
      <c r="H61" s="65"/>
      <c r="I61" s="68"/>
      <c r="J61" s="29"/>
    </row>
    <row r="62" spans="1:13" x14ac:dyDescent="0.3">
      <c r="A62" s="6"/>
      <c r="B62" s="61"/>
      <c r="C62" s="62"/>
      <c r="D62" s="62"/>
      <c r="E62" s="62"/>
      <c r="F62" s="62"/>
      <c r="G62" s="63"/>
      <c r="H62" s="66"/>
      <c r="I62" s="69"/>
      <c r="J62" s="29"/>
    </row>
    <row r="63" spans="1:13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ht="15.75" customHeight="1" x14ac:dyDescent="0.3">
      <c r="A64" s="6"/>
      <c r="B64" s="9" t="s">
        <v>12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4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4" x14ac:dyDescent="0.3">
      <c r="A66" s="6"/>
      <c r="B66" s="47" t="s">
        <v>13</v>
      </c>
      <c r="C66" s="47"/>
      <c r="D66" s="48"/>
      <c r="E66" s="48"/>
      <c r="F66" s="48"/>
      <c r="G66" s="48"/>
      <c r="H66" s="48"/>
      <c r="I66" s="6"/>
      <c r="J66" s="6"/>
      <c r="K66" s="9"/>
      <c r="L66" s="16"/>
      <c r="M66" s="6"/>
    </row>
    <row r="67" spans="1:14" x14ac:dyDescent="0.3">
      <c r="A67" s="6"/>
      <c r="B67" s="10"/>
      <c r="C67" s="10"/>
      <c r="D67" s="43"/>
      <c r="E67" s="43"/>
      <c r="F67" s="43"/>
      <c r="G67" s="43"/>
      <c r="H67" s="43"/>
      <c r="I67" s="6"/>
      <c r="J67" s="6"/>
      <c r="K67" s="9"/>
      <c r="L67" s="16"/>
      <c r="M67" s="6"/>
    </row>
    <row r="68" spans="1:1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4" x14ac:dyDescent="0.3">
      <c r="A69" s="6"/>
      <c r="B69" s="47" t="s">
        <v>14</v>
      </c>
      <c r="C69" s="47"/>
      <c r="D69" s="49">
        <v>1001219407</v>
      </c>
      <c r="E69" s="49"/>
      <c r="F69" s="49"/>
      <c r="G69" s="49"/>
      <c r="H69" s="49"/>
      <c r="I69" s="6"/>
      <c r="J69" s="6"/>
      <c r="K69" s="6"/>
      <c r="L69" s="6"/>
      <c r="M69" s="6"/>
    </row>
    <row r="70" spans="1:1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4" x14ac:dyDescent="0.3">
      <c r="A71" s="6"/>
      <c r="B71" s="46" t="s">
        <v>15</v>
      </c>
      <c r="C71" s="46"/>
      <c r="D71" s="43" t="s">
        <v>38</v>
      </c>
      <c r="E71" s="43"/>
      <c r="F71" s="43"/>
      <c r="G71" s="43"/>
      <c r="H71" s="43"/>
      <c r="I71" s="6"/>
      <c r="J71" s="6"/>
      <c r="K71" s="6"/>
      <c r="L71" s="6"/>
      <c r="M71" s="6"/>
    </row>
    <row r="72" spans="1:1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4" x14ac:dyDescent="0.3">
      <c r="A73" s="6"/>
      <c r="B73" s="46" t="s">
        <v>16</v>
      </c>
      <c r="C73" s="46"/>
      <c r="D73" s="43" t="s">
        <v>39</v>
      </c>
      <c r="E73" s="43"/>
      <c r="F73" s="43"/>
      <c r="G73" s="43"/>
      <c r="H73" s="43"/>
      <c r="I73" s="6"/>
      <c r="J73" s="6"/>
      <c r="K73" s="6"/>
      <c r="L73" s="6"/>
      <c r="M73" s="6"/>
    </row>
    <row r="74" spans="1:1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4" x14ac:dyDescent="0.3">
      <c r="A75" s="6"/>
      <c r="B75" s="47" t="s">
        <v>22</v>
      </c>
      <c r="C75" s="47"/>
      <c r="D75" s="43">
        <v>3203904350</v>
      </c>
      <c r="E75" s="43"/>
      <c r="F75" s="43"/>
      <c r="G75" s="43"/>
      <c r="H75" s="43"/>
      <c r="I75" s="6"/>
      <c r="J75" s="6"/>
      <c r="K75" s="6"/>
      <c r="L75" s="6"/>
      <c r="M75" s="6"/>
    </row>
    <row r="76" spans="1:1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4" x14ac:dyDescent="0.3">
      <c r="A77" s="6"/>
      <c r="B77" s="38" t="s">
        <v>26</v>
      </c>
      <c r="C77" s="39"/>
      <c r="D77" s="39"/>
      <c r="E77" s="39"/>
      <c r="F77" s="39"/>
      <c r="G77" s="39"/>
      <c r="H77" s="39"/>
      <c r="I77" s="39"/>
      <c r="J77" s="40"/>
      <c r="M77" s="6"/>
      <c r="N77" s="10"/>
    </row>
    <row r="78" spans="1:14" x14ac:dyDescent="0.3">
      <c r="A78" s="6"/>
      <c r="B78" s="24"/>
      <c r="C78" s="42" t="s">
        <v>17</v>
      </c>
      <c r="D78" s="42"/>
      <c r="E78" s="42"/>
      <c r="F78" s="42"/>
      <c r="G78" s="42"/>
      <c r="H78" s="42"/>
      <c r="I78" s="42"/>
      <c r="J78" s="25"/>
      <c r="M78" s="6"/>
      <c r="N78" s="6"/>
    </row>
    <row r="79" spans="1:14" x14ac:dyDescent="0.3">
      <c r="A79" s="6"/>
      <c r="B79" s="26"/>
      <c r="C79" s="41" t="s">
        <v>27</v>
      </c>
      <c r="D79" s="41"/>
      <c r="E79" s="41"/>
      <c r="F79" s="41"/>
      <c r="G79" s="41"/>
      <c r="H79" s="41"/>
      <c r="I79" s="41"/>
      <c r="J79" s="27"/>
      <c r="M79" s="6"/>
      <c r="N79" s="13"/>
    </row>
    <row r="80" spans="1:14" x14ac:dyDescent="0.3">
      <c r="N80" s="13"/>
    </row>
    <row r="81" spans="12:12" x14ac:dyDescent="0.3">
      <c r="L81" s="6"/>
    </row>
  </sheetData>
  <mergeCells count="36">
    <mergeCell ref="B66:C66"/>
    <mergeCell ref="B69:C69"/>
    <mergeCell ref="B60:G62"/>
    <mergeCell ref="H60:H62"/>
    <mergeCell ref="I60:I62"/>
    <mergeCell ref="F20:I21"/>
    <mergeCell ref="F18:I18"/>
    <mergeCell ref="F16:I16"/>
    <mergeCell ref="A1:M2"/>
    <mergeCell ref="B6:M6"/>
    <mergeCell ref="B7:M7"/>
    <mergeCell ref="B8:M8"/>
    <mergeCell ref="B12:D12"/>
    <mergeCell ref="B16:D16"/>
    <mergeCell ref="B18:D18"/>
    <mergeCell ref="F14:I14"/>
    <mergeCell ref="F12:I12"/>
    <mergeCell ref="G10:H10"/>
    <mergeCell ref="B14:D14"/>
    <mergeCell ref="B20:D21"/>
    <mergeCell ref="B77:J77"/>
    <mergeCell ref="C79:I79"/>
    <mergeCell ref="C78:I78"/>
    <mergeCell ref="D75:H75"/>
    <mergeCell ref="B23:D23"/>
    <mergeCell ref="E23:F23"/>
    <mergeCell ref="G23:G24"/>
    <mergeCell ref="H23:H24"/>
    <mergeCell ref="I23:I24"/>
    <mergeCell ref="B71:C71"/>
    <mergeCell ref="B73:C73"/>
    <mergeCell ref="B75:C75"/>
    <mergeCell ref="D71:H71"/>
    <mergeCell ref="D73:H73"/>
    <mergeCell ref="D66:H67"/>
    <mergeCell ref="D69:H69"/>
  </mergeCells>
  <pageMargins left="0.45" right="0.359722222222222" top="0.75" bottom="0.75" header="0.51180555555555496" footer="0.51180555555555496"/>
  <pageSetup paperSize="9" scale="8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2024</vt:lpstr>
      <vt:lpstr>'2024'!Área_de_impresión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ARREDONDO</dc:creator>
  <cp:lastModifiedBy>Sebastián Urbano Luna</cp:lastModifiedBy>
  <cp:revision>23</cp:revision>
  <cp:lastPrinted>2022-09-26T00:39:43Z</cp:lastPrinted>
  <dcterms:created xsi:type="dcterms:W3CDTF">2016-06-25T16:29:18Z</dcterms:created>
  <dcterms:modified xsi:type="dcterms:W3CDTF">2025-09-30T17:58:00Z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