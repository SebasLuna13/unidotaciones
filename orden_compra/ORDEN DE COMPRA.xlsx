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0A81949-AD09-4799-B750-FD2F6E9A115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1 (2)" sheetId="2" r:id="rId2"/>
  </sheets>
  <definedNames>
    <definedName name="_xlnm.Print_Area" localSheetId="0">Hoja1!$A$1:$I$4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8" i="2"/>
  <c r="K7" i="2"/>
  <c r="P21" i="1"/>
  <c r="P20" i="1"/>
  <c r="P23" i="1"/>
  <c r="P22" i="1"/>
  <c r="K16" i="1"/>
  <c r="K15" i="1"/>
  <c r="K14" i="1"/>
  <c r="K13" i="1"/>
  <c r="K10" i="1"/>
  <c r="K9" i="1"/>
  <c r="K8" i="1"/>
  <c r="K7" i="1"/>
  <c r="M10" i="1"/>
  <c r="M9" i="1"/>
  <c r="M8" i="1"/>
  <c r="M7" i="1"/>
  <c r="M16" i="1"/>
  <c r="M15" i="1"/>
  <c r="M14" i="1"/>
  <c r="M13" i="1"/>
</calcChain>
</file>

<file path=xl/sharedStrings.xml><?xml version="1.0" encoding="utf-8"?>
<sst xmlns="http://schemas.openxmlformats.org/spreadsheetml/2006/main" count="63" uniqueCount="45">
  <si>
    <t xml:space="preserve">PROVEEDOR </t>
  </si>
  <si>
    <t xml:space="preserve">CORTE DAMA </t>
  </si>
  <si>
    <t xml:space="preserve">INSUMOS REQUERIDOS </t>
  </si>
  <si>
    <t>ESPECIFICACIONES</t>
  </si>
  <si>
    <t>UDS</t>
  </si>
  <si>
    <t>PROM</t>
  </si>
  <si>
    <t>TOT TEL</t>
  </si>
  <si>
    <t>6/XS</t>
  </si>
  <si>
    <t>8/S</t>
  </si>
  <si>
    <t>10/M</t>
  </si>
  <si>
    <t>12/L</t>
  </si>
  <si>
    <t>14/XL</t>
  </si>
  <si>
    <t>PRODUCTO</t>
  </si>
  <si>
    <t>16/XXL</t>
  </si>
  <si>
    <t>Fecha:</t>
  </si>
  <si>
    <t xml:space="preserve">O.Compra:  </t>
  </si>
  <si>
    <t>18/3XL</t>
  </si>
  <si>
    <t>CORTE HOMBRE</t>
  </si>
  <si>
    <t>28/XS</t>
  </si>
  <si>
    <t>30/S</t>
  </si>
  <si>
    <t>32/M</t>
  </si>
  <si>
    <t>34/L</t>
  </si>
  <si>
    <t>36/XL</t>
  </si>
  <si>
    <t>38/XXL</t>
  </si>
  <si>
    <t>CONTACTO</t>
  </si>
  <si>
    <t>TELÉFONO</t>
  </si>
  <si>
    <t>PRECIO DE COTIZACIÓN (POR UNIDAD Y SIN IVA)</t>
  </si>
  <si>
    <t>PRECIO DE COMPRA (POR UNIDAD Y SIN IVA)</t>
  </si>
  <si>
    <t>DIFERENCIA DE COSTO (COTIZACIÓN VS COMPRA)</t>
  </si>
  <si>
    <t>FECHA DE PEDIDO DE PROFORMA</t>
  </si>
  <si>
    <t>FECHA DE LLEGADA DE PROFORMA</t>
  </si>
  <si>
    <t>FECHA DE REALIZACIÓN DE PAGO</t>
  </si>
  <si>
    <t>40/3XL</t>
  </si>
  <si>
    <t>42/4XL</t>
  </si>
  <si>
    <t>44/5XL</t>
  </si>
  <si>
    <t>20/4XL</t>
  </si>
  <si>
    <t>22/5XL</t>
  </si>
  <si>
    <t>CLIENTE:</t>
  </si>
  <si>
    <t>6 de Noviembre de 2024</t>
  </si>
  <si>
    <t>SEGURIDAD NACIONAL</t>
  </si>
  <si>
    <t>Camisa vigilante ML color beige</t>
  </si>
  <si>
    <t>Pantalón vigilante color café</t>
  </si>
  <si>
    <t>Overol antifluido color negro</t>
  </si>
  <si>
    <t>RECIBE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</si>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</sst>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8">
    <xf numFmtId="0" fontId="0" fillId="0" borderId="0" xfId="0"/>
    <xf numFmtId="0" fontId="2" fillId="0" borderId="7" xfId="0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0" fontId="5" fillId="0" borderId="16" xfId="0" applyFont="1" applyBorder="1"/>
    <xf numFmtId="0" fontId="4" fillId="2" borderId="1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 wrapText="1"/>
    </xf>
    <xf numFmtId="0" fontId="0" fillId="0" borderId="40" xfId="0" applyBorder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44" fontId="0" fillId="0" borderId="40" xfId="1" applyFont="1" applyBorder="1" applyAlignment="1">
      <alignment vertical="center"/>
    </xf>
    <xf numFmtId="0" fontId="4" fillId="2" borderId="4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44" fontId="0" fillId="0" borderId="40" xfId="0" applyNumberFormat="1" applyBorder="1" applyAlignment="1">
      <alignment vertical="center"/>
    </xf>
    <xf numFmtId="0" fontId="2" fillId="0" borderId="2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2" fillId="0" borderId="31" xfId="0" applyFont="1" applyBorder="1"/>
    <xf numFmtId="0" fontId="12" fillId="0" borderId="32" xfId="0" applyFont="1" applyBorder="1"/>
    <xf numFmtId="0" fontId="12" fillId="0" borderId="34" xfId="0" applyFont="1" applyBorder="1"/>
    <xf numFmtId="0" fontId="12" fillId="0" borderId="33" xfId="0" applyFont="1" applyBorder="1"/>
    <xf numFmtId="0" fontId="9" fillId="0" borderId="40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0" fillId="0" borderId="3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12" fillId="0" borderId="47" xfId="0" applyFont="1" applyBorder="1"/>
    <xf numFmtId="0" fontId="12" fillId="0" borderId="48" xfId="0" applyFont="1" applyBorder="1"/>
    <xf numFmtId="0" fontId="2" fillId="3" borderId="10" xfId="0" applyFont="1" applyFill="1" applyBorder="1" applyAlignment="1">
      <alignment horizontal="center"/>
    </xf>
    <xf numFmtId="0" fontId="12" fillId="0" borderId="49" xfId="0" applyFont="1" applyBorder="1"/>
    <xf numFmtId="0" fontId="2" fillId="0" borderId="40" xfId="0" applyFont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0" borderId="28" xfId="0" applyFont="1" applyBorder="1"/>
    <xf numFmtId="0" fontId="13" fillId="0" borderId="0" xfId="0" applyFont="1"/>
    <xf numFmtId="0" fontId="0" fillId="0" borderId="50" xfId="0" applyBorder="1"/>
    <xf numFmtId="0" fontId="0" fillId="0" borderId="50" xfId="0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1079501</xdr:colOff>
      <xdr:row>0</xdr:row>
      <xdr:rowOff>58210</xdr:rowOff>
    </xdr:from>
    <xdr:to>
      <xdr:col>0</xdr:col>
      <xdr:colOff>2508251</xdr:colOff>
      <xdr:row>1</xdr:row>
      <xdr:rowOff>190500</xdr:rowOff>
    </xdr:to>
    <xdr:pic>
      <xdr:nvPicPr>
        <xdr:cNvPr id="4" name="Imagen 3" descr="logounidotacionesfondocolor-01-01.png">
          <a:extLst>
            <a:ext uri="{FF2B5EF4-FFF2-40B4-BE49-F238E27FC236}">
              <a16:creationId xmlns:a16="http://schemas.microsoft.com/office/drawing/2014/main" id="{6168CA2D-747E-4130-B77C-A32DD681C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" b="16763"/>
        <a:stretch/>
      </xdr:blipFill>
      <xdr:spPr>
        <a:xfrm>
          <a:off x="1354668" y="58210"/>
          <a:ext cx="1428750" cy="428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1248834</xdr:colOff>
      <xdr:row>0</xdr:row>
      <xdr:rowOff>47626</xdr:rowOff>
    </xdr:from>
    <xdr:to>
      <xdr:col>1</xdr:col>
      <xdr:colOff>158750</xdr:colOff>
      <xdr:row>1</xdr:row>
      <xdr:rowOff>296333</xdr:rowOff>
    </xdr:to>
    <xdr:pic>
      <xdr:nvPicPr>
        <xdr:cNvPr id="2" name="Imagen 1" descr="logounidotacionesfondocolor-01-01.png">
          <a:extLst>
            <a:ext uri="{FF2B5EF4-FFF2-40B4-BE49-F238E27FC236}">
              <a16:creationId xmlns:a16="http://schemas.microsoft.com/office/drawing/2014/main" id="{63184BD2-B2B3-4967-8495-AB2822476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" b="16763"/>
        <a:stretch/>
      </xdr:blipFill>
      <xdr:spPr>
        <a:xfrm>
          <a:off x="1248834" y="47626"/>
          <a:ext cx="1174749" cy="545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"/>
  <sheetViews>
    <sheetView zoomScale="90" zoomScaleNormal="90" zoomScaleSheetLayoutView="98" workbookViewId="0">
      <selection activeCell="G8" sqref="G8"/>
    </sheetView>
  </sheetViews>
  <sheetFormatPr baseColWidth="10" defaultRowHeight="15" x14ac:dyDescent="0.25"/>
  <cols>
    <col min="1" max="1" width="55" customWidth="1"/>
    <col min="2" max="2" width="8.85546875" customWidth="1"/>
    <col min="3" max="3" width="7.5703125" customWidth="1"/>
    <col min="4" max="4" width="7.140625" customWidth="1"/>
    <col min="5" max="5" width="6.7109375" customWidth="1"/>
    <col min="6" max="6" width="9.85546875" customWidth="1"/>
    <col min="7" max="7" width="10.28515625" customWidth="1"/>
    <col min="8" max="8" width="8.42578125" customWidth="1"/>
    <col min="9" max="10" width="9" customWidth="1"/>
    <col min="11" max="11" width="10.140625" customWidth="1"/>
    <col min="12" max="12" width="11.28515625" customWidth="1"/>
    <col min="13" max="13" width="21" customWidth="1"/>
    <col min="14" max="15" width="20.28515625" customWidth="1"/>
    <col min="16" max="16" width="19.5703125" customWidth="1"/>
    <col min="17" max="17" width="15" customWidth="1"/>
    <col min="18" max="18" width="14.85546875" customWidth="1"/>
    <col min="19" max="19" width="16.140625" customWidth="1"/>
  </cols>
  <sheetData>
    <row r="1" spans="1:13" ht="23.25" customHeight="1" x14ac:dyDescent="0.25">
      <c r="A1" s="69"/>
      <c r="B1" s="69"/>
      <c r="C1" s="70"/>
      <c r="D1" s="70"/>
      <c r="E1" s="70"/>
      <c r="F1" s="71"/>
      <c r="G1" s="72" t="s">
        <v>14</v>
      </c>
      <c r="H1" s="73"/>
      <c r="I1" s="76"/>
      <c r="J1" s="77"/>
      <c r="K1" s="77"/>
      <c r="L1" s="78"/>
    </row>
    <row r="2" spans="1:13" ht="24" customHeight="1" thickBot="1" x14ac:dyDescent="0.3">
      <c r="A2" s="69"/>
      <c r="B2" s="69"/>
      <c r="C2" s="70"/>
      <c r="D2" s="70"/>
      <c r="E2" s="70"/>
      <c r="F2" s="71"/>
      <c r="G2" s="74" t="s">
        <v>15</v>
      </c>
      <c r="H2" s="75"/>
      <c r="I2" s="79"/>
      <c r="J2" s="80"/>
      <c r="K2" s="80"/>
      <c r="L2" s="81"/>
    </row>
    <row r="3" spans="1:13" ht="18" customHeight="1" x14ac:dyDescent="0.25">
      <c r="A3" s="63"/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1:13" ht="18" customHeight="1" thickBot="1" x14ac:dyDescent="0.3">
      <c r="A4" s="63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7"/>
    </row>
    <row r="5" spans="1:13" ht="21" thickBot="1" x14ac:dyDescent="0.35">
      <c r="A5" s="59" t="s">
        <v>17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8"/>
    </row>
    <row r="6" spans="1:13" ht="15.75" thickBot="1" x14ac:dyDescent="0.3">
      <c r="A6" s="14" t="s">
        <v>12</v>
      </c>
      <c r="B6" s="6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8" t="s">
        <v>23</v>
      </c>
      <c r="H6" s="7" t="s">
        <v>32</v>
      </c>
      <c r="I6" s="8" t="s">
        <v>33</v>
      </c>
      <c r="J6" s="9" t="s">
        <v>34</v>
      </c>
      <c r="K6" s="30" t="s">
        <v>4</v>
      </c>
      <c r="L6" s="4" t="s">
        <v>5</v>
      </c>
      <c r="M6" s="2" t="s">
        <v>6</v>
      </c>
    </row>
    <row r="7" spans="1:13" ht="18" x14ac:dyDescent="0.25">
      <c r="A7" s="50"/>
      <c r="B7" s="39"/>
      <c r="C7" s="12"/>
      <c r="D7" s="12"/>
      <c r="E7" s="12"/>
      <c r="F7" s="1"/>
      <c r="G7" s="1"/>
      <c r="H7" s="1"/>
      <c r="I7" s="1"/>
      <c r="J7" s="40"/>
      <c r="K7" s="32">
        <f>SUM(B7:J7)</f>
        <v>0</v>
      </c>
      <c r="L7" s="1">
        <v>0</v>
      </c>
      <c r="M7" s="3">
        <f>(L7*K7)</f>
        <v>0</v>
      </c>
    </row>
    <row r="8" spans="1:13" ht="18" x14ac:dyDescent="0.25">
      <c r="A8" s="51"/>
      <c r="B8" s="5"/>
      <c r="C8" s="10"/>
      <c r="D8" s="10"/>
      <c r="E8" s="10"/>
      <c r="F8" s="31"/>
      <c r="G8" s="31"/>
      <c r="H8" s="31"/>
      <c r="I8" s="31"/>
      <c r="J8" s="41"/>
      <c r="K8" s="33">
        <f t="shared" ref="K8:K10" si="0">SUM(B8:J8)</f>
        <v>0</v>
      </c>
      <c r="L8" s="31">
        <v>0</v>
      </c>
      <c r="M8" s="34">
        <f>(L8*K8)</f>
        <v>0</v>
      </c>
    </row>
    <row r="9" spans="1:13" ht="18" x14ac:dyDescent="0.25">
      <c r="A9" s="52"/>
      <c r="B9" s="17"/>
      <c r="C9" s="16"/>
      <c r="D9" s="16"/>
      <c r="E9" s="16"/>
      <c r="F9" s="42"/>
      <c r="G9" s="42"/>
      <c r="H9" s="42"/>
      <c r="I9" s="42"/>
      <c r="J9" s="41"/>
      <c r="K9" s="33">
        <f t="shared" si="0"/>
        <v>0</v>
      </c>
      <c r="L9" s="31">
        <v>0</v>
      </c>
      <c r="M9" s="34">
        <f t="shared" ref="M9:M10" si="1">(L9*K9)</f>
        <v>0</v>
      </c>
    </row>
    <row r="10" spans="1:13" ht="18.75" thickBot="1" x14ac:dyDescent="0.3">
      <c r="A10" s="53"/>
      <c r="B10" s="43"/>
      <c r="C10" s="44"/>
      <c r="D10" s="36"/>
      <c r="E10" s="36"/>
      <c r="F10" s="45"/>
      <c r="G10" s="36"/>
      <c r="H10" s="36"/>
      <c r="I10" s="36"/>
      <c r="J10" s="46"/>
      <c r="K10" s="35">
        <f t="shared" si="0"/>
        <v>0</v>
      </c>
      <c r="L10" s="36">
        <v>0</v>
      </c>
      <c r="M10" s="37">
        <f t="shared" si="1"/>
        <v>0</v>
      </c>
    </row>
    <row r="11" spans="1:13" ht="21" thickBot="1" x14ac:dyDescent="0.35">
      <c r="A11" s="59" t="s">
        <v>1</v>
      </c>
      <c r="B11" s="60"/>
      <c r="C11" s="60"/>
      <c r="D11" s="60"/>
      <c r="E11" s="60"/>
      <c r="F11" s="60"/>
      <c r="G11" s="60"/>
      <c r="H11" s="60"/>
      <c r="I11" s="60"/>
      <c r="J11" s="60"/>
      <c r="K11" s="61"/>
      <c r="L11" s="61"/>
      <c r="M11" s="62"/>
    </row>
    <row r="12" spans="1:13" ht="15.75" thickBot="1" x14ac:dyDescent="0.3">
      <c r="A12" s="14" t="s">
        <v>12</v>
      </c>
      <c r="B12" s="6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8" t="s">
        <v>13</v>
      </c>
      <c r="H12" s="7" t="s">
        <v>16</v>
      </c>
      <c r="I12" s="8" t="s">
        <v>35</v>
      </c>
      <c r="J12" s="9" t="s">
        <v>36</v>
      </c>
      <c r="K12" s="15" t="s">
        <v>4</v>
      </c>
      <c r="L12" s="4" t="s">
        <v>5</v>
      </c>
      <c r="M12" s="2" t="s">
        <v>6</v>
      </c>
    </row>
    <row r="13" spans="1:13" ht="18" x14ac:dyDescent="0.25">
      <c r="A13" s="50"/>
      <c r="B13" s="39"/>
      <c r="C13" s="12"/>
      <c r="D13" s="12"/>
      <c r="E13" s="12"/>
      <c r="F13" s="1"/>
      <c r="G13" s="1"/>
      <c r="H13" s="1"/>
      <c r="I13" s="1"/>
      <c r="J13" s="47"/>
      <c r="K13" s="19">
        <f t="shared" ref="K13:K16" si="2">SUM(B13:J13)</f>
        <v>0</v>
      </c>
      <c r="L13" s="1">
        <v>0</v>
      </c>
      <c r="M13" s="3">
        <f>(L13*K13)</f>
        <v>0</v>
      </c>
    </row>
    <row r="14" spans="1:13" ht="18" x14ac:dyDescent="0.25">
      <c r="A14" s="51"/>
      <c r="B14" s="5"/>
      <c r="C14" s="10"/>
      <c r="D14" s="10"/>
      <c r="E14" s="10"/>
      <c r="F14" s="31"/>
      <c r="G14" s="31"/>
      <c r="H14" s="31"/>
      <c r="I14" s="31"/>
      <c r="J14" s="48"/>
      <c r="K14" s="20">
        <f t="shared" si="2"/>
        <v>0</v>
      </c>
      <c r="L14" s="5">
        <v>0</v>
      </c>
      <c r="M14" s="13">
        <f>(L14*K14)</f>
        <v>0</v>
      </c>
    </row>
    <row r="15" spans="1:13" ht="18" x14ac:dyDescent="0.25">
      <c r="A15" s="52"/>
      <c r="B15" s="17"/>
      <c r="C15" s="16"/>
      <c r="D15" s="16"/>
      <c r="E15" s="16"/>
      <c r="F15" s="42"/>
      <c r="G15" s="42"/>
      <c r="H15" s="42"/>
      <c r="I15" s="42"/>
      <c r="J15" s="48"/>
      <c r="K15" s="21">
        <f t="shared" si="2"/>
        <v>0</v>
      </c>
      <c r="L15" s="17">
        <v>0</v>
      </c>
      <c r="M15" s="13">
        <f t="shared" ref="M15" si="3">(L15*K15)</f>
        <v>0</v>
      </c>
    </row>
    <row r="16" spans="1:13" ht="18.75" thickBot="1" x14ac:dyDescent="0.3">
      <c r="A16" s="53"/>
      <c r="B16" s="43"/>
      <c r="C16" s="44"/>
      <c r="D16" s="36"/>
      <c r="E16" s="36"/>
      <c r="F16" s="45"/>
      <c r="G16" s="36"/>
      <c r="H16" s="36"/>
      <c r="I16" s="36"/>
      <c r="J16" s="49"/>
      <c r="K16" s="22">
        <f t="shared" si="2"/>
        <v>0</v>
      </c>
      <c r="L16" s="11">
        <v>0</v>
      </c>
      <c r="M16" s="18">
        <f t="shared" ref="M16" si="4">(L16*K16)</f>
        <v>0</v>
      </c>
    </row>
    <row r="17" spans="1:19" ht="15.75" thickBot="1" x14ac:dyDescent="0.3"/>
    <row r="18" spans="1:19" ht="15.75" thickBot="1" x14ac:dyDescent="0.3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7"/>
    </row>
    <row r="19" spans="1:19" ht="81" customHeight="1" thickBot="1" x14ac:dyDescent="0.3">
      <c r="A19" s="25" t="s">
        <v>2</v>
      </c>
      <c r="B19" s="58" t="s">
        <v>3</v>
      </c>
      <c r="C19" s="58"/>
      <c r="D19" s="58"/>
      <c r="E19" s="58"/>
      <c r="F19" s="58" t="s">
        <v>4</v>
      </c>
      <c r="G19" s="58"/>
      <c r="H19" s="58" t="s">
        <v>0</v>
      </c>
      <c r="I19" s="58"/>
      <c r="J19" s="58"/>
      <c r="K19" s="58" t="s">
        <v>24</v>
      </c>
      <c r="L19" s="58"/>
      <c r="M19" s="26" t="s">
        <v>25</v>
      </c>
      <c r="N19" s="27" t="s">
        <v>26</v>
      </c>
      <c r="O19" s="27" t="s">
        <v>27</v>
      </c>
      <c r="P19" s="27" t="s">
        <v>28</v>
      </c>
      <c r="Q19" s="27" t="s">
        <v>29</v>
      </c>
      <c r="R19" s="27" t="s">
        <v>30</v>
      </c>
      <c r="S19" s="28" t="s">
        <v>31</v>
      </c>
    </row>
    <row r="20" spans="1:19" ht="62.25" customHeight="1" x14ac:dyDescent="0.25">
      <c r="A20" s="2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23"/>
      <c r="N20" s="29"/>
      <c r="O20" s="24"/>
      <c r="P20" s="38">
        <f t="shared" ref="P20:P21" si="5">O20-N20</f>
        <v>0</v>
      </c>
      <c r="Q20" s="24"/>
      <c r="R20" s="24"/>
      <c r="S20" s="24"/>
    </row>
    <row r="21" spans="1:19" ht="62.25" customHeight="1" x14ac:dyDescent="0.25">
      <c r="A21" s="2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23"/>
      <c r="N21" s="29"/>
      <c r="O21" s="24"/>
      <c r="P21" s="38">
        <f t="shared" si="5"/>
        <v>0</v>
      </c>
      <c r="Q21" s="24"/>
      <c r="R21" s="24"/>
      <c r="S21" s="24"/>
    </row>
    <row r="22" spans="1:19" ht="62.25" customHeight="1" x14ac:dyDescent="0.25">
      <c r="A22" s="2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23"/>
      <c r="N22" s="29"/>
      <c r="O22" s="24"/>
      <c r="P22" s="38">
        <f t="shared" ref="P22:P23" si="6">O22-N22</f>
        <v>0</v>
      </c>
      <c r="Q22" s="24"/>
      <c r="R22" s="24"/>
      <c r="S22" s="24"/>
    </row>
    <row r="23" spans="1:19" ht="62.25" customHeight="1" x14ac:dyDescent="0.25">
      <c r="A23" s="2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23"/>
      <c r="N23" s="29"/>
      <c r="O23" s="24"/>
      <c r="P23" s="38">
        <f t="shared" si="6"/>
        <v>0</v>
      </c>
      <c r="Q23" s="24"/>
      <c r="R23" s="24"/>
      <c r="S23" s="24"/>
    </row>
  </sheetData>
  <mergeCells count="31">
    <mergeCell ref="A11:M11"/>
    <mergeCell ref="A3:M3"/>
    <mergeCell ref="A4:M4"/>
    <mergeCell ref="A5:M5"/>
    <mergeCell ref="A1:B2"/>
    <mergeCell ref="C1:F2"/>
    <mergeCell ref="G1:H1"/>
    <mergeCell ref="G2:H2"/>
    <mergeCell ref="I1:L1"/>
    <mergeCell ref="I2:L2"/>
    <mergeCell ref="B23:E23"/>
    <mergeCell ref="F23:G23"/>
    <mergeCell ref="H23:J23"/>
    <mergeCell ref="K23:L23"/>
    <mergeCell ref="A18:S18"/>
    <mergeCell ref="B21:E21"/>
    <mergeCell ref="F21:G21"/>
    <mergeCell ref="B20:E20"/>
    <mergeCell ref="F20:G20"/>
    <mergeCell ref="B19:E19"/>
    <mergeCell ref="F19:G19"/>
    <mergeCell ref="H19:J19"/>
    <mergeCell ref="K19:L19"/>
    <mergeCell ref="B22:E22"/>
    <mergeCell ref="F22:G22"/>
    <mergeCell ref="H22:J22"/>
    <mergeCell ref="K22:L22"/>
    <mergeCell ref="H20:J20"/>
    <mergeCell ref="K20:L20"/>
    <mergeCell ref="H21:J21"/>
    <mergeCell ref="K21:L21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3780-0635-4D72-8D1A-C300701D4FB8}">
  <sheetPr>
    <pageSetUpPr fitToPage="1"/>
  </sheetPr>
  <dimension ref="A1:K14"/>
  <sheetViews>
    <sheetView tabSelected="1" zoomScale="90" zoomScaleNormal="90" zoomScaleSheetLayoutView="98" workbookViewId="0">
      <selection activeCell="I13" sqref="I13"/>
    </sheetView>
  </sheetViews>
  <sheetFormatPr baseColWidth="10" defaultRowHeight="15" x14ac:dyDescent="0.25"/>
  <cols>
    <col min="1" max="1" width="34" customWidth="1"/>
    <col min="2" max="2" width="8.85546875" customWidth="1"/>
    <col min="3" max="3" width="7.5703125" customWidth="1"/>
    <col min="4" max="4" width="7.140625" customWidth="1"/>
    <col min="5" max="5" width="6.7109375" customWidth="1"/>
    <col min="6" max="6" width="9.85546875" customWidth="1"/>
    <col min="7" max="7" width="10.28515625" customWidth="1"/>
    <col min="8" max="8" width="8.42578125" customWidth="1"/>
    <col min="9" max="10" width="9" customWidth="1"/>
    <col min="11" max="11" width="10.140625" customWidth="1"/>
    <col min="12" max="13" width="20.28515625" customWidth="1"/>
    <col min="14" max="14" width="19.5703125" customWidth="1"/>
    <col min="15" max="15" width="15" customWidth="1"/>
    <col min="16" max="16" width="14.85546875" customWidth="1"/>
    <col min="17" max="17" width="16.140625" customWidth="1"/>
  </cols>
  <sheetData>
    <row r="1" spans="1:11" ht="23.25" customHeight="1" x14ac:dyDescent="0.25">
      <c r="A1" s="83"/>
      <c r="B1" s="83"/>
      <c r="C1" s="83"/>
      <c r="D1" s="83"/>
      <c r="E1" s="83"/>
      <c r="F1" s="83"/>
      <c r="G1" s="84" t="s">
        <v>14</v>
      </c>
      <c r="H1" s="84"/>
      <c r="I1" s="85" t="s">
        <v>38</v>
      </c>
      <c r="J1" s="85"/>
      <c r="K1" s="85"/>
    </row>
    <row r="2" spans="1:11" ht="24" customHeight="1" x14ac:dyDescent="0.25">
      <c r="A2" s="83"/>
      <c r="B2" s="83"/>
      <c r="C2" s="83"/>
      <c r="D2" s="83"/>
      <c r="E2" s="83"/>
      <c r="F2" s="83"/>
      <c r="G2" s="84"/>
      <c r="H2" s="84"/>
      <c r="I2" s="86"/>
      <c r="J2" s="86"/>
      <c r="K2" s="86"/>
    </row>
    <row r="3" spans="1:11" ht="18" customHeight="1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 ht="18" customHeight="1" thickBot="1" x14ac:dyDescent="0.3">
      <c r="A4" s="82" t="s">
        <v>39</v>
      </c>
      <c r="B4" s="82"/>
      <c r="C4" s="82"/>
      <c r="D4" s="82"/>
      <c r="E4" s="82"/>
      <c r="F4" s="82"/>
      <c r="G4" s="82"/>
      <c r="H4" s="82"/>
      <c r="I4" s="82"/>
      <c r="J4" s="82"/>
      <c r="K4" s="82"/>
    </row>
    <row r="5" spans="1:11" ht="21" thickBot="1" x14ac:dyDescent="0.35">
      <c r="A5" s="59" t="s">
        <v>17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ht="21" customHeight="1" thickBot="1" x14ac:dyDescent="0.3">
      <c r="A6" s="94" t="s">
        <v>12</v>
      </c>
      <c r="B6" s="6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8" t="s">
        <v>23</v>
      </c>
      <c r="H6" s="7" t="s">
        <v>32</v>
      </c>
      <c r="I6" s="8" t="s">
        <v>33</v>
      </c>
      <c r="J6" s="9" t="s">
        <v>34</v>
      </c>
      <c r="K6" s="15" t="s">
        <v>44</v>
      </c>
    </row>
    <row r="7" spans="1:11" ht="21" customHeight="1" x14ac:dyDescent="0.25">
      <c r="A7" s="90" t="s">
        <v>40</v>
      </c>
      <c r="B7" s="91">
        <v>10</v>
      </c>
      <c r="C7" s="92">
        <v>45</v>
      </c>
      <c r="D7" s="92">
        <v>66</v>
      </c>
      <c r="E7" s="92">
        <v>85</v>
      </c>
      <c r="F7" s="91">
        <v>49</v>
      </c>
      <c r="G7" s="91">
        <v>24</v>
      </c>
      <c r="H7" s="91"/>
      <c r="I7" s="91"/>
      <c r="J7" s="91"/>
      <c r="K7" s="93">
        <f>SUM(B7:J7)</f>
        <v>279</v>
      </c>
    </row>
    <row r="8" spans="1:11" ht="21" customHeight="1" x14ac:dyDescent="0.25">
      <c r="A8" s="87" t="s">
        <v>41</v>
      </c>
      <c r="B8" s="31"/>
      <c r="C8" s="10">
        <v>3</v>
      </c>
      <c r="D8" s="10">
        <v>21</v>
      </c>
      <c r="E8" s="10"/>
      <c r="F8" s="31">
        <v>16</v>
      </c>
      <c r="G8" s="31">
        <v>19</v>
      </c>
      <c r="H8" s="31">
        <v>10</v>
      </c>
      <c r="I8" s="31">
        <v>8</v>
      </c>
      <c r="J8" s="31">
        <v>10</v>
      </c>
      <c r="K8" s="48">
        <f t="shared" ref="K8:K9" si="0">SUM(B8:J8)</f>
        <v>87</v>
      </c>
    </row>
    <row r="9" spans="1:11" ht="21" customHeight="1" thickBot="1" x14ac:dyDescent="0.3">
      <c r="A9" s="88" t="s">
        <v>42</v>
      </c>
      <c r="B9" s="36">
        <v>15</v>
      </c>
      <c r="C9" s="89">
        <v>10</v>
      </c>
      <c r="D9" s="89">
        <v>5</v>
      </c>
      <c r="E9" s="89">
        <v>24</v>
      </c>
      <c r="F9" s="36">
        <v>2</v>
      </c>
      <c r="G9" s="36">
        <v>3</v>
      </c>
      <c r="H9" s="36"/>
      <c r="I9" s="36"/>
      <c r="J9" s="36"/>
      <c r="K9" s="49">
        <f t="shared" si="0"/>
        <v>59</v>
      </c>
    </row>
    <row r="13" spans="1:11" x14ac:dyDescent="0.25">
      <c r="A13" s="96"/>
      <c r="B13" s="97"/>
    </row>
    <row r="14" spans="1:11" ht="21" x14ac:dyDescent="0.35">
      <c r="A14" s="95" t="s">
        <v>43</v>
      </c>
    </row>
  </sheetData>
  <mergeCells count="9">
    <mergeCell ref="A3:K3"/>
    <mergeCell ref="A4:K4"/>
    <mergeCell ref="A5:K5"/>
    <mergeCell ref="A1:B2"/>
    <mergeCell ref="C1:F2"/>
    <mergeCell ref="G1:H1"/>
    <mergeCell ref="I1:K1"/>
    <mergeCell ref="G2:H2"/>
    <mergeCell ref="I2:K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Hoja1 (2)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Unidotaciones Eje</dc:creator>
  <cp:lastModifiedBy>Unidotaciones del Eje</cp:lastModifiedBy>
  <cp:lastPrinted>2024-11-06T19:35:24Z</cp:lastPrinted>
  <dcterms:created xsi:type="dcterms:W3CDTF">2018-10-28T23:56:52Z</dcterms:created>
  <dcterms:modified xsi:type="dcterms:W3CDTF">2024-11-06T19:35:27Z</dcterms:modified>
</cp:coreProperties>
</file>